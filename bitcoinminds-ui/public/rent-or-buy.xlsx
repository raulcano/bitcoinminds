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itcoinminds\bitcoinminds-ui\public\"/>
    </mc:Choice>
  </mc:AlternateContent>
  <xr:revisionPtr revIDLastSave="0" documentId="8_{164497ED-F3AA-4B7C-B54D-5A8FECD50211}" xr6:coauthVersionLast="47" xr6:coauthVersionMax="47" xr10:uidLastSave="{00000000-0000-0000-0000-000000000000}"/>
  <bookViews>
    <workbookView xWindow="-120" yWindow="-120" windowWidth="29040" windowHeight="15720" xr2:uid="{DCF96723-3E93-44C4-9919-84A70D724588}"/>
  </bookViews>
  <sheets>
    <sheet name="Rent or bu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2" i="1" l="1"/>
  <c r="D72" i="1"/>
  <c r="D71" i="1"/>
  <c r="D69" i="1"/>
  <c r="S66" i="1"/>
  <c r="T66" i="1" s="1"/>
  <c r="U66" i="1" s="1"/>
  <c r="V66" i="1" s="1"/>
  <c r="W66" i="1" s="1"/>
  <c r="X66" i="1" s="1"/>
  <c r="E66" i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D64" i="1"/>
  <c r="P62" i="1"/>
  <c r="D62" i="1"/>
  <c r="S61" i="1"/>
  <c r="D61" i="1"/>
  <c r="Q55" i="1"/>
  <c r="D55" i="1"/>
  <c r="V53" i="1"/>
  <c r="U53" i="1"/>
  <c r="T53" i="1"/>
  <c r="S53" i="1"/>
  <c r="L53" i="1"/>
  <c r="K53" i="1"/>
  <c r="J53" i="1"/>
  <c r="F53" i="1"/>
  <c r="E53" i="1"/>
  <c r="D53" i="1"/>
  <c r="U50" i="1"/>
  <c r="T50" i="1"/>
  <c r="S50" i="1"/>
  <c r="R50" i="1"/>
  <c r="K50" i="1"/>
  <c r="J50" i="1"/>
  <c r="I50" i="1"/>
  <c r="E50" i="1"/>
  <c r="D50" i="1"/>
  <c r="O49" i="1"/>
  <c r="V48" i="1"/>
  <c r="D48" i="1"/>
  <c r="N46" i="1"/>
  <c r="D46" i="1"/>
  <c r="D54" i="1" s="1"/>
  <c r="V45" i="1"/>
  <c r="M45" i="1"/>
  <c r="L45" i="1"/>
  <c r="D45" i="1"/>
  <c r="U61" i="1" s="1"/>
  <c r="T41" i="1"/>
  <c r="S41" i="1"/>
  <c r="R41" i="1"/>
  <c r="Q41" i="1"/>
  <c r="P41" i="1"/>
  <c r="K41" i="1"/>
  <c r="J41" i="1"/>
  <c r="I41" i="1"/>
  <c r="H41" i="1"/>
  <c r="G41" i="1"/>
  <c r="D41" i="1"/>
  <c r="U41" i="1" s="1"/>
  <c r="V40" i="1"/>
  <c r="U40" i="1"/>
  <c r="L40" i="1"/>
  <c r="I40" i="1"/>
  <c r="E40" i="1"/>
  <c r="D40" i="1"/>
  <c r="R40" i="1" s="1"/>
  <c r="X38" i="1"/>
  <c r="V38" i="1"/>
  <c r="S38" i="1"/>
  <c r="R38" i="1"/>
  <c r="Q38" i="1"/>
  <c r="P38" i="1"/>
  <c r="O38" i="1"/>
  <c r="M38" i="1"/>
  <c r="K38" i="1"/>
  <c r="J38" i="1"/>
  <c r="I38" i="1"/>
  <c r="H38" i="1"/>
  <c r="G38" i="1"/>
  <c r="E38" i="1"/>
  <c r="D38" i="1"/>
  <c r="F69" i="1" s="1"/>
  <c r="X35" i="1"/>
  <c r="W35" i="1"/>
  <c r="V35" i="1"/>
  <c r="R35" i="1"/>
  <c r="Q35" i="1"/>
  <c r="P35" i="1"/>
  <c r="O35" i="1"/>
  <c r="N35" i="1"/>
  <c r="J35" i="1"/>
  <c r="I35" i="1"/>
  <c r="H35" i="1"/>
  <c r="G35" i="1"/>
  <c r="F35" i="1"/>
  <c r="D35" i="1"/>
  <c r="M50" i="1" s="1"/>
  <c r="V34" i="1"/>
  <c r="U34" i="1"/>
  <c r="T34" i="1"/>
  <c r="M34" i="1"/>
  <c r="K34" i="1"/>
  <c r="G34" i="1"/>
  <c r="F34" i="1"/>
  <c r="D34" i="1"/>
  <c r="N34" i="1" s="1"/>
  <c r="R33" i="1"/>
  <c r="Q33" i="1"/>
  <c r="D33" i="1"/>
  <c r="V31" i="1"/>
  <c r="U31" i="1"/>
  <c r="T31" i="1"/>
  <c r="S31" i="1"/>
  <c r="N31" i="1"/>
  <c r="M31" i="1"/>
  <c r="L31" i="1"/>
  <c r="K31" i="1"/>
  <c r="J31" i="1"/>
  <c r="F31" i="1"/>
  <c r="E31" i="1"/>
  <c r="D31" i="1"/>
  <c r="D25" i="1"/>
  <c r="D19" i="1"/>
  <c r="D16" i="1"/>
  <c r="D12" i="1" s="1"/>
  <c r="D17" i="1" s="1"/>
  <c r="D18" i="1" s="1"/>
  <c r="D15" i="1"/>
  <c r="D47" i="1" s="1"/>
  <c r="D14" i="1"/>
  <c r="D5" i="1"/>
  <c r="F39" i="1" l="1"/>
  <c r="E39" i="1"/>
  <c r="U39" i="1"/>
  <c r="V39" i="1"/>
  <c r="Q64" i="1"/>
  <c r="I64" i="1"/>
  <c r="R48" i="1"/>
  <c r="J48" i="1"/>
  <c r="X64" i="1"/>
  <c r="P64" i="1"/>
  <c r="H64" i="1"/>
  <c r="Q48" i="1"/>
  <c r="I48" i="1"/>
  <c r="W64" i="1"/>
  <c r="O64" i="1"/>
  <c r="G64" i="1"/>
  <c r="X48" i="1"/>
  <c r="P48" i="1"/>
  <c r="H48" i="1"/>
  <c r="U64" i="1"/>
  <c r="M64" i="1"/>
  <c r="E64" i="1"/>
  <c r="R64" i="1"/>
  <c r="J64" i="1"/>
  <c r="L64" i="1"/>
  <c r="T48" i="1"/>
  <c r="F48" i="1"/>
  <c r="W33" i="1"/>
  <c r="O33" i="1"/>
  <c r="G33" i="1"/>
  <c r="V33" i="1"/>
  <c r="N48" i="1"/>
  <c r="K64" i="1"/>
  <c r="S48" i="1"/>
  <c r="E48" i="1"/>
  <c r="N33" i="1"/>
  <c r="F33" i="1"/>
  <c r="F64" i="1"/>
  <c r="O48" i="1"/>
  <c r="U33" i="1"/>
  <c r="M33" i="1"/>
  <c r="M39" i="1" s="1"/>
  <c r="E33" i="1"/>
  <c r="V64" i="1"/>
  <c r="M48" i="1"/>
  <c r="T64" i="1"/>
  <c r="W48" i="1"/>
  <c r="L48" i="1"/>
  <c r="N64" i="1"/>
  <c r="U48" i="1"/>
  <c r="G48" i="1"/>
  <c r="H33" i="1"/>
  <c r="S33" i="1"/>
  <c r="S39" i="1" s="1"/>
  <c r="L34" i="1"/>
  <c r="W34" i="1"/>
  <c r="J40" i="1"/>
  <c r="W40" i="1"/>
  <c r="I33" i="1"/>
  <c r="J33" i="1"/>
  <c r="J39" i="1" s="1"/>
  <c r="X33" i="1"/>
  <c r="M40" i="1"/>
  <c r="D39" i="1"/>
  <c r="T65" i="1"/>
  <c r="L65" i="1"/>
  <c r="U49" i="1"/>
  <c r="M49" i="1"/>
  <c r="E49" i="1"/>
  <c r="S65" i="1"/>
  <c r="K65" i="1"/>
  <c r="T49" i="1"/>
  <c r="L49" i="1"/>
  <c r="R65" i="1"/>
  <c r="J65" i="1"/>
  <c r="S49" i="1"/>
  <c r="K49" i="1"/>
  <c r="X65" i="1"/>
  <c r="P65" i="1"/>
  <c r="H65" i="1"/>
  <c r="U65" i="1"/>
  <c r="M65" i="1"/>
  <c r="E65" i="1"/>
  <c r="N65" i="1"/>
  <c r="X49" i="1"/>
  <c r="J49" i="1"/>
  <c r="R34" i="1"/>
  <c r="J34" i="1"/>
  <c r="I65" i="1"/>
  <c r="W49" i="1"/>
  <c r="I49" i="1"/>
  <c r="Q34" i="1"/>
  <c r="I34" i="1"/>
  <c r="G49" i="1"/>
  <c r="G65" i="1"/>
  <c r="V49" i="1"/>
  <c r="H49" i="1"/>
  <c r="X34" i="1"/>
  <c r="P34" i="1"/>
  <c r="H34" i="1"/>
  <c r="F65" i="1"/>
  <c r="R49" i="1"/>
  <c r="W65" i="1"/>
  <c r="Q49" i="1"/>
  <c r="F49" i="1"/>
  <c r="V65" i="1"/>
  <c r="P49" i="1"/>
  <c r="O65" i="1"/>
  <c r="N49" i="1"/>
  <c r="S64" i="1"/>
  <c r="D13" i="1"/>
  <c r="D23" i="1"/>
  <c r="D26" i="1" s="1"/>
  <c r="T33" i="1"/>
  <c r="K33" i="1"/>
  <c r="K39" i="1" s="1"/>
  <c r="O34" i="1"/>
  <c r="N40" i="1"/>
  <c r="S62" i="1"/>
  <c r="K62" i="1"/>
  <c r="T46" i="1"/>
  <c r="T54" i="1" s="1"/>
  <c r="L46" i="1"/>
  <c r="L54" i="1" s="1"/>
  <c r="R62" i="1"/>
  <c r="J62" i="1"/>
  <c r="J70" i="1" s="1"/>
  <c r="S46" i="1"/>
  <c r="S54" i="1" s="1"/>
  <c r="K46" i="1"/>
  <c r="Q62" i="1"/>
  <c r="I62" i="1"/>
  <c r="R46" i="1"/>
  <c r="R54" i="1" s="1"/>
  <c r="J46" i="1"/>
  <c r="W62" i="1"/>
  <c r="O62" i="1"/>
  <c r="O70" i="1" s="1"/>
  <c r="G62" i="1"/>
  <c r="T62" i="1"/>
  <c r="L62" i="1"/>
  <c r="M62" i="1"/>
  <c r="W46" i="1"/>
  <c r="W54" i="1" s="1"/>
  <c r="I46" i="1"/>
  <c r="Q31" i="1"/>
  <c r="Q39" i="1" s="1"/>
  <c r="I31" i="1"/>
  <c r="I39" i="1" s="1"/>
  <c r="P31" i="1"/>
  <c r="F46" i="1"/>
  <c r="F54" i="1" s="1"/>
  <c r="H62" i="1"/>
  <c r="V46" i="1"/>
  <c r="V54" i="1" s="1"/>
  <c r="H46" i="1"/>
  <c r="H54" i="1" s="1"/>
  <c r="X31" i="1"/>
  <c r="X39" i="1" s="1"/>
  <c r="H31" i="1"/>
  <c r="H39" i="1" s="1"/>
  <c r="F62" i="1"/>
  <c r="F70" i="1" s="1"/>
  <c r="U46" i="1"/>
  <c r="G46" i="1"/>
  <c r="W31" i="1"/>
  <c r="O31" i="1"/>
  <c r="O39" i="1" s="1"/>
  <c r="G31" i="1"/>
  <c r="G39" i="1" s="1"/>
  <c r="X62" i="1"/>
  <c r="E62" i="1"/>
  <c r="Q46" i="1"/>
  <c r="Q54" i="1" s="1"/>
  <c r="V62" i="1"/>
  <c r="P46" i="1"/>
  <c r="E46" i="1"/>
  <c r="E54" i="1" s="1"/>
  <c r="U62" i="1"/>
  <c r="U70" i="1" s="1"/>
  <c r="O46" i="1"/>
  <c r="N62" i="1"/>
  <c r="X46" i="1"/>
  <c r="M46" i="1"/>
  <c r="R31" i="1"/>
  <c r="R39" i="1" s="1"/>
  <c r="L33" i="1"/>
  <c r="E34" i="1"/>
  <c r="S34" i="1"/>
  <c r="Q65" i="1"/>
  <c r="D63" i="1"/>
  <c r="D32" i="1"/>
  <c r="P33" i="1"/>
  <c r="W71" i="1"/>
  <c r="O71" i="1"/>
  <c r="G71" i="1"/>
  <c r="W55" i="1"/>
  <c r="O55" i="1"/>
  <c r="G55" i="1"/>
  <c r="V71" i="1"/>
  <c r="N71" i="1"/>
  <c r="F71" i="1"/>
  <c r="V55" i="1"/>
  <c r="N55" i="1"/>
  <c r="F55" i="1"/>
  <c r="U71" i="1"/>
  <c r="M71" i="1"/>
  <c r="E71" i="1"/>
  <c r="U55" i="1"/>
  <c r="M55" i="1"/>
  <c r="E55" i="1"/>
  <c r="S40" i="1"/>
  <c r="K40" i="1"/>
  <c r="T71" i="1"/>
  <c r="L71" i="1"/>
  <c r="S71" i="1"/>
  <c r="K71" i="1"/>
  <c r="R71" i="1"/>
  <c r="J71" i="1"/>
  <c r="X71" i="1"/>
  <c r="P71" i="1"/>
  <c r="H71" i="1"/>
  <c r="I71" i="1"/>
  <c r="L55" i="1"/>
  <c r="Q40" i="1"/>
  <c r="H40" i="1"/>
  <c r="G40" i="1"/>
  <c r="K55" i="1"/>
  <c r="P40" i="1"/>
  <c r="I55" i="1"/>
  <c r="X55" i="1"/>
  <c r="J55" i="1"/>
  <c r="X40" i="1"/>
  <c r="O40" i="1"/>
  <c r="F40" i="1"/>
  <c r="T55" i="1"/>
  <c r="S55" i="1"/>
  <c r="H55" i="1"/>
  <c r="R55" i="1"/>
  <c r="Q71" i="1"/>
  <c r="P55" i="1"/>
  <c r="T40" i="1"/>
  <c r="K48" i="1"/>
  <c r="D67" i="1"/>
  <c r="K45" i="1"/>
  <c r="U45" i="1"/>
  <c r="R61" i="1"/>
  <c r="V69" i="1"/>
  <c r="E61" i="1"/>
  <c r="X61" i="1"/>
  <c r="P61" i="1"/>
  <c r="H61" i="1"/>
  <c r="W61" i="1"/>
  <c r="O61" i="1"/>
  <c r="G61" i="1"/>
  <c r="X45" i="1"/>
  <c r="P45" i="1"/>
  <c r="H45" i="1"/>
  <c r="V61" i="1"/>
  <c r="N61" i="1"/>
  <c r="F61" i="1"/>
  <c r="W45" i="1"/>
  <c r="O45" i="1"/>
  <c r="G45" i="1"/>
  <c r="T61" i="1"/>
  <c r="L61" i="1"/>
  <c r="N45" i="1"/>
  <c r="I61" i="1"/>
  <c r="D70" i="1"/>
  <c r="T72" i="1"/>
  <c r="Q45" i="1"/>
  <c r="J61" i="1"/>
  <c r="K35" i="1"/>
  <c r="S35" i="1"/>
  <c r="Q69" i="1"/>
  <c r="I69" i="1"/>
  <c r="Q53" i="1"/>
  <c r="I53" i="1"/>
  <c r="X69" i="1"/>
  <c r="P69" i="1"/>
  <c r="P70" i="1" s="1"/>
  <c r="H69" i="1"/>
  <c r="X53" i="1"/>
  <c r="P53" i="1"/>
  <c r="H53" i="1"/>
  <c r="W69" i="1"/>
  <c r="O69" i="1"/>
  <c r="G69" i="1"/>
  <c r="W53" i="1"/>
  <c r="O53" i="1"/>
  <c r="G53" i="1"/>
  <c r="U38" i="1"/>
  <c r="U69" i="1"/>
  <c r="M69" i="1"/>
  <c r="E69" i="1"/>
  <c r="T69" i="1"/>
  <c r="L69" i="1"/>
  <c r="R69" i="1"/>
  <c r="J69" i="1"/>
  <c r="L38" i="1"/>
  <c r="L39" i="1" s="1"/>
  <c r="T38" i="1"/>
  <c r="T39" i="1" s="1"/>
  <c r="L41" i="1"/>
  <c r="F45" i="1"/>
  <c r="R45" i="1"/>
  <c r="L50" i="1"/>
  <c r="M53" i="1"/>
  <c r="K61" i="1"/>
  <c r="K69" i="1"/>
  <c r="E45" i="1"/>
  <c r="L35" i="1"/>
  <c r="T35" i="1"/>
  <c r="I45" i="1"/>
  <c r="S45" i="1"/>
  <c r="N53" i="1"/>
  <c r="N54" i="1" s="1"/>
  <c r="M61" i="1"/>
  <c r="N69" i="1"/>
  <c r="D65" i="1"/>
  <c r="D49" i="1"/>
  <c r="D51" i="1" s="1"/>
  <c r="X50" i="1"/>
  <c r="P50" i="1"/>
  <c r="H50" i="1"/>
  <c r="W50" i="1"/>
  <c r="O50" i="1"/>
  <c r="G50" i="1"/>
  <c r="V50" i="1"/>
  <c r="N50" i="1"/>
  <c r="F50" i="1"/>
  <c r="R72" i="1"/>
  <c r="J72" i="1"/>
  <c r="Q72" i="1"/>
  <c r="I72" i="1"/>
  <c r="X72" i="1"/>
  <c r="P72" i="1"/>
  <c r="H72" i="1"/>
  <c r="V41" i="1"/>
  <c r="N41" i="1"/>
  <c r="F41" i="1"/>
  <c r="W72" i="1"/>
  <c r="O72" i="1"/>
  <c r="G72" i="1"/>
  <c r="V72" i="1"/>
  <c r="N72" i="1"/>
  <c r="F72" i="1"/>
  <c r="U72" i="1"/>
  <c r="M72" i="1"/>
  <c r="E72" i="1"/>
  <c r="S72" i="1"/>
  <c r="K72" i="1"/>
  <c r="M41" i="1"/>
  <c r="W41" i="1"/>
  <c r="D24" i="1"/>
  <c r="E35" i="1"/>
  <c r="M35" i="1"/>
  <c r="U35" i="1"/>
  <c r="F38" i="1"/>
  <c r="N38" i="1"/>
  <c r="N39" i="1" s="1"/>
  <c r="W38" i="1"/>
  <c r="E41" i="1"/>
  <c r="O41" i="1"/>
  <c r="X41" i="1"/>
  <c r="J45" i="1"/>
  <c r="T45" i="1"/>
  <c r="Q50" i="1"/>
  <c r="R53" i="1"/>
  <c r="Q61" i="1"/>
  <c r="S69" i="1"/>
  <c r="D52" i="1" l="1"/>
  <c r="D57" i="1"/>
  <c r="U67" i="1"/>
  <c r="J67" i="1"/>
  <c r="T67" i="1"/>
  <c r="X54" i="1"/>
  <c r="E70" i="1"/>
  <c r="W70" i="1"/>
  <c r="R70" i="1"/>
  <c r="J36" i="1"/>
  <c r="I51" i="1"/>
  <c r="R51" i="1"/>
  <c r="G51" i="1"/>
  <c r="N70" i="1"/>
  <c r="X70" i="1"/>
  <c r="I54" i="1"/>
  <c r="J54" i="1"/>
  <c r="D58" i="1"/>
  <c r="S36" i="1"/>
  <c r="M70" i="1"/>
  <c r="K70" i="1"/>
  <c r="W67" i="1"/>
  <c r="E36" i="1"/>
  <c r="W39" i="1"/>
  <c r="H70" i="1"/>
  <c r="L70" i="1"/>
  <c r="Q70" i="1"/>
  <c r="S70" i="1"/>
  <c r="Q36" i="1"/>
  <c r="Q51" i="1"/>
  <c r="I70" i="1"/>
  <c r="F67" i="1"/>
  <c r="V63" i="1"/>
  <c r="V67" i="1" s="1"/>
  <c r="N63" i="1"/>
  <c r="N67" i="1" s="1"/>
  <c r="F63" i="1"/>
  <c r="W47" i="1"/>
  <c r="W51" i="1" s="1"/>
  <c r="O47" i="1"/>
  <c r="O51" i="1" s="1"/>
  <c r="G47" i="1"/>
  <c r="U63" i="1"/>
  <c r="M63" i="1"/>
  <c r="E63" i="1"/>
  <c r="E67" i="1" s="1"/>
  <c r="V47" i="1"/>
  <c r="V51" i="1" s="1"/>
  <c r="N47" i="1"/>
  <c r="F47" i="1"/>
  <c r="F51" i="1" s="1"/>
  <c r="T63" i="1"/>
  <c r="L63" i="1"/>
  <c r="L67" i="1" s="1"/>
  <c r="U47" i="1"/>
  <c r="U51" i="1" s="1"/>
  <c r="M47" i="1"/>
  <c r="E47" i="1"/>
  <c r="E51" i="1" s="1"/>
  <c r="R63" i="1"/>
  <c r="R67" i="1" s="1"/>
  <c r="J63" i="1"/>
  <c r="W63" i="1"/>
  <c r="O63" i="1"/>
  <c r="O67" i="1" s="1"/>
  <c r="G63" i="1"/>
  <c r="G67" i="1" s="1"/>
  <c r="K63" i="1"/>
  <c r="K67" i="1" s="1"/>
  <c r="P47" i="1"/>
  <c r="P51" i="1" s="1"/>
  <c r="T32" i="1"/>
  <c r="T36" i="1" s="1"/>
  <c r="L32" i="1"/>
  <c r="L36" i="1" s="1"/>
  <c r="L47" i="1"/>
  <c r="L51" i="1" s="1"/>
  <c r="S32" i="1"/>
  <c r="J47" i="1"/>
  <c r="J51" i="1" s="1"/>
  <c r="I63" i="1"/>
  <c r="I67" i="1" s="1"/>
  <c r="K32" i="1"/>
  <c r="K36" i="1" s="1"/>
  <c r="H63" i="1"/>
  <c r="H67" i="1" s="1"/>
  <c r="K47" i="1"/>
  <c r="K51" i="1" s="1"/>
  <c r="R32" i="1"/>
  <c r="R36" i="1" s="1"/>
  <c r="J32" i="1"/>
  <c r="X47" i="1"/>
  <c r="X51" i="1" s="1"/>
  <c r="X63" i="1"/>
  <c r="X67" i="1" s="1"/>
  <c r="T47" i="1"/>
  <c r="I47" i="1"/>
  <c r="S63" i="1"/>
  <c r="S67" i="1" s="1"/>
  <c r="S47" i="1"/>
  <c r="S51" i="1" s="1"/>
  <c r="H47" i="1"/>
  <c r="H51" i="1" s="1"/>
  <c r="P63" i="1"/>
  <c r="Q47" i="1"/>
  <c r="W32" i="1"/>
  <c r="I32" i="1"/>
  <c r="I36" i="1" s="1"/>
  <c r="V32" i="1"/>
  <c r="V36" i="1" s="1"/>
  <c r="H32" i="1"/>
  <c r="H36" i="1" s="1"/>
  <c r="U32" i="1"/>
  <c r="U36" i="1" s="1"/>
  <c r="G32" i="1"/>
  <c r="G36" i="1" s="1"/>
  <c r="E32" i="1"/>
  <c r="R47" i="1"/>
  <c r="Q32" i="1"/>
  <c r="F32" i="1"/>
  <c r="F36" i="1" s="1"/>
  <c r="P32" i="1"/>
  <c r="P36" i="1" s="1"/>
  <c r="Q63" i="1"/>
  <c r="Q67" i="1" s="1"/>
  <c r="N32" i="1"/>
  <c r="N36" i="1" s="1"/>
  <c r="X32" i="1"/>
  <c r="X36" i="1" s="1"/>
  <c r="O32" i="1"/>
  <c r="D36" i="1"/>
  <c r="M32" i="1"/>
  <c r="M36" i="1" s="1"/>
  <c r="P54" i="1"/>
  <c r="G54" i="1"/>
  <c r="T70" i="1"/>
  <c r="K54" i="1"/>
  <c r="M51" i="1"/>
  <c r="W36" i="1"/>
  <c r="M54" i="1"/>
  <c r="O36" i="1"/>
  <c r="O54" i="1"/>
  <c r="T51" i="1"/>
  <c r="M67" i="1"/>
  <c r="N51" i="1"/>
  <c r="P67" i="1"/>
  <c r="D73" i="1"/>
  <c r="D74" i="1" s="1"/>
  <c r="D68" i="1"/>
  <c r="V70" i="1"/>
  <c r="U54" i="1"/>
  <c r="P39" i="1"/>
  <c r="G70" i="1"/>
  <c r="E52" i="1" l="1"/>
  <c r="E57" i="1"/>
  <c r="E58" i="1" s="1"/>
  <c r="L73" i="1"/>
  <c r="L74" i="1" s="1"/>
  <c r="L68" i="1"/>
  <c r="H42" i="1"/>
  <c r="H43" i="1" s="1"/>
  <c r="H37" i="1"/>
  <c r="U52" i="1"/>
  <c r="U57" i="1"/>
  <c r="U58" i="1" s="1"/>
  <c r="O68" i="1"/>
  <c r="O73" i="1"/>
  <c r="O74" i="1" s="1"/>
  <c r="P57" i="1"/>
  <c r="P58" i="1" s="1"/>
  <c r="P52" i="1"/>
  <c r="K73" i="1"/>
  <c r="K74" i="1" s="1"/>
  <c r="K68" i="1"/>
  <c r="I42" i="1"/>
  <c r="I43" i="1" s="1"/>
  <c r="I37" i="1"/>
  <c r="G68" i="1"/>
  <c r="G73" i="1"/>
  <c r="G74" i="1" s="1"/>
  <c r="X73" i="1"/>
  <c r="X74" i="1" s="1"/>
  <c r="X68" i="1"/>
  <c r="J57" i="1"/>
  <c r="J58" i="1" s="1"/>
  <c r="J52" i="1"/>
  <c r="O57" i="1"/>
  <c r="O58" i="1" s="1"/>
  <c r="O52" i="1"/>
  <c r="X57" i="1"/>
  <c r="X58" i="1" s="1"/>
  <c r="X52" i="1"/>
  <c r="F52" i="1"/>
  <c r="F57" i="1"/>
  <c r="F58" i="1" s="1"/>
  <c r="W52" i="1"/>
  <c r="W57" i="1"/>
  <c r="W58" i="1" s="1"/>
  <c r="L52" i="1"/>
  <c r="L57" i="1"/>
  <c r="L58" i="1" s="1"/>
  <c r="S57" i="1"/>
  <c r="S58" i="1" s="1"/>
  <c r="S52" i="1"/>
  <c r="Q73" i="1"/>
  <c r="Q74" i="1" s="1"/>
  <c r="Q68" i="1"/>
  <c r="H73" i="1"/>
  <c r="H74" i="1" s="1"/>
  <c r="H68" i="1"/>
  <c r="P37" i="1"/>
  <c r="P42" i="1"/>
  <c r="P43" i="1" s="1"/>
  <c r="I73" i="1"/>
  <c r="I74" i="1" s="1"/>
  <c r="I68" i="1"/>
  <c r="X42" i="1"/>
  <c r="X43" i="1" s="1"/>
  <c r="X37" i="1"/>
  <c r="H57" i="1"/>
  <c r="H58" i="1" s="1"/>
  <c r="H52" i="1"/>
  <c r="R37" i="1"/>
  <c r="R42" i="1"/>
  <c r="R43" i="1" s="1"/>
  <c r="L42" i="1"/>
  <c r="L43" i="1" s="1"/>
  <c r="L37" i="1"/>
  <c r="R73" i="1"/>
  <c r="R74" i="1" s="1"/>
  <c r="R68" i="1"/>
  <c r="V52" i="1"/>
  <c r="V57" i="1"/>
  <c r="V58" i="1" s="1"/>
  <c r="N68" i="1"/>
  <c r="N73" i="1"/>
  <c r="N74" i="1" s="1"/>
  <c r="K52" i="1"/>
  <c r="K57" i="1"/>
  <c r="K58" i="1" s="1"/>
  <c r="E73" i="1"/>
  <c r="E74" i="1" s="1"/>
  <c r="E68" i="1"/>
  <c r="V68" i="1"/>
  <c r="V73" i="1"/>
  <c r="V74" i="1" s="1"/>
  <c r="U42" i="1"/>
  <c r="U43" i="1" s="1"/>
  <c r="U37" i="1"/>
  <c r="U73" i="1"/>
  <c r="U74" i="1" s="1"/>
  <c r="U68" i="1"/>
  <c r="S73" i="1"/>
  <c r="S74" i="1" s="1"/>
  <c r="S68" i="1"/>
  <c r="Q42" i="1"/>
  <c r="Q43" i="1" s="1"/>
  <c r="Q37" i="1"/>
  <c r="M52" i="1"/>
  <c r="M57" i="1"/>
  <c r="M58" i="1" s="1"/>
  <c r="G42" i="1"/>
  <c r="G43" i="1" s="1"/>
  <c r="G37" i="1"/>
  <c r="O37" i="1"/>
  <c r="O42" i="1"/>
  <c r="O43" i="1" s="1"/>
  <c r="T42" i="1"/>
  <c r="T43" i="1" s="1"/>
  <c r="T37" i="1"/>
  <c r="J73" i="1"/>
  <c r="J74" i="1" s="1"/>
  <c r="J68" i="1"/>
  <c r="W42" i="1"/>
  <c r="W43" i="1" s="1"/>
  <c r="W37" i="1"/>
  <c r="V42" i="1"/>
  <c r="V43" i="1" s="1"/>
  <c r="V37" i="1"/>
  <c r="T52" i="1"/>
  <c r="T57" i="1"/>
  <c r="T58" i="1" s="1"/>
  <c r="Q57" i="1"/>
  <c r="Q58" i="1" s="1"/>
  <c r="Q52" i="1"/>
  <c r="N52" i="1"/>
  <c r="N57" i="1"/>
  <c r="N58" i="1" s="1"/>
  <c r="D42" i="1"/>
  <c r="D43" i="1" s="1"/>
  <c r="D37" i="1"/>
  <c r="M73" i="1"/>
  <c r="M74" i="1" s="1"/>
  <c r="M68" i="1"/>
  <c r="N37" i="1"/>
  <c r="N42" i="1"/>
  <c r="N43" i="1" s="1"/>
  <c r="F68" i="1"/>
  <c r="F73" i="1"/>
  <c r="F74" i="1" s="1"/>
  <c r="R57" i="1"/>
  <c r="R58" i="1" s="1"/>
  <c r="R52" i="1"/>
  <c r="E42" i="1"/>
  <c r="E43" i="1" s="1"/>
  <c r="E37" i="1"/>
  <c r="I57" i="1"/>
  <c r="I58" i="1" s="1"/>
  <c r="I52" i="1"/>
  <c r="K37" i="1"/>
  <c r="K42" i="1"/>
  <c r="K43" i="1" s="1"/>
  <c r="P73" i="1"/>
  <c r="P74" i="1" s="1"/>
  <c r="P68" i="1"/>
  <c r="F42" i="1"/>
  <c r="F43" i="1" s="1"/>
  <c r="F37" i="1"/>
  <c r="W68" i="1"/>
  <c r="W73" i="1"/>
  <c r="W74" i="1" s="1"/>
  <c r="M42" i="1"/>
  <c r="M43" i="1" s="1"/>
  <c r="M37" i="1"/>
  <c r="S37" i="1"/>
  <c r="S42" i="1"/>
  <c r="S43" i="1" s="1"/>
  <c r="G52" i="1"/>
  <c r="G57" i="1"/>
  <c r="G58" i="1" s="1"/>
  <c r="J37" i="1"/>
  <c r="J42" i="1"/>
  <c r="J43" i="1" s="1"/>
  <c r="T73" i="1"/>
  <c r="T74" i="1" s="1"/>
  <c r="T68" i="1"/>
</calcChain>
</file>

<file path=xl/sharedStrings.xml><?xml version="1.0" encoding="utf-8"?>
<sst xmlns="http://schemas.openxmlformats.org/spreadsheetml/2006/main" count="67" uniqueCount="34">
  <si>
    <t>Downpayment / Initial savings</t>
  </si>
  <si>
    <t>PERIOD</t>
  </si>
  <si>
    <t>Number of years</t>
  </si>
  <si>
    <t>Periods (months)</t>
  </si>
  <si>
    <t>BUY</t>
  </si>
  <si>
    <t>Listing price</t>
  </si>
  <si>
    <t>Percentage of side costs (taxes, notary, etc.)</t>
  </si>
  <si>
    <t>Mortgage interest rate (yearly)</t>
  </si>
  <si>
    <t>Additional yearly expenses (property tax, repairs, etc.)</t>
  </si>
  <si>
    <t>Market appreciation (yearly)</t>
  </si>
  <si>
    <t>Monthly mortgage payment</t>
  </si>
  <si>
    <t>Monthly total expenses (mortgage + other costs)</t>
  </si>
  <si>
    <t>Purchase price</t>
  </si>
  <si>
    <t>Loan amount</t>
  </si>
  <si>
    <t>Mortgate interest rate (monthly)</t>
  </si>
  <si>
    <t>Total amount paid</t>
  </si>
  <si>
    <t>Paid in interests</t>
  </si>
  <si>
    <t>Value of the house at the end of the mortgage</t>
  </si>
  <si>
    <t>RENT</t>
  </si>
  <si>
    <t>Monthly payment</t>
  </si>
  <si>
    <t>Interest rate in savings (yearly)</t>
  </si>
  <si>
    <t xml:space="preserve">Difference monthly payment </t>
  </si>
  <si>
    <t>Total rent paid</t>
  </si>
  <si>
    <t>Interest rate in savings (monthly)</t>
  </si>
  <si>
    <t>Cash savings by investing monthly savings plus initial savings</t>
  </si>
  <si>
    <t>Mortgage interest rate</t>
  </si>
  <si>
    <t>Years</t>
  </si>
  <si>
    <t>Downpayment / initial savings</t>
  </si>
  <si>
    <t>Total mortgage paid</t>
  </si>
  <si>
    <t>House appreciation (yearly)</t>
  </si>
  <si>
    <t>House value</t>
  </si>
  <si>
    <t>Rent monthly payment</t>
  </si>
  <si>
    <t>Difference mortgage - rent</t>
  </si>
  <si>
    <t>Renter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</si>
</sst>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;[Red]\-#,##0.00\ &quot;€&quot;"/>
    <numFmt numFmtId="165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4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/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vertical="center" wrapText="1"/>
    </xf>
    <xf numFmtId="0" fontId="4" fillId="0" borderId="4" xfId="0" applyFont="1" applyBorder="1"/>
    <xf numFmtId="10" fontId="3" fillId="0" borderId="1" xfId="0" applyNumberFormat="1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textRotation="90"/>
    </xf>
    <xf numFmtId="0" fontId="2" fillId="0" borderId="0" xfId="0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+mn-lt"/>
              </a:defRPr>
            </a:pPr>
            <a:r>
              <a:rPr lang="en-US" sz="1400" b="0" i="0">
                <a:solidFill>
                  <a:srgbClr val="595959"/>
                </a:solidFill>
                <a:latin typeface="+mn-lt"/>
              </a:rPr>
              <a:t>Cash savings of renters vs House value of owners after mortgage period
(as a function of the mortgage interest rate - all else, constant)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House value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'Rent or buy'!$D$30:$X$30</c:f>
              <c:numCache>
                <c:formatCode>0.000%</c:formatCode>
                <c:ptCount val="21"/>
                <c:pt idx="0">
                  <c:v>0</c:v>
                </c:pt>
                <c:pt idx="1">
                  <c:v>2.5000000000000001E-3</c:v>
                </c:pt>
                <c:pt idx="2">
                  <c:v>5.0000000000000001E-3</c:v>
                </c:pt>
                <c:pt idx="3">
                  <c:v>7.4999999999999997E-3</c:v>
                </c:pt>
                <c:pt idx="4">
                  <c:v>0.01</c:v>
                </c:pt>
                <c:pt idx="5">
                  <c:v>1.2500000000000001E-2</c:v>
                </c:pt>
                <c:pt idx="6">
                  <c:v>1.4999999999999999E-2</c:v>
                </c:pt>
                <c:pt idx="7">
                  <c:v>1.7500000000000002E-2</c:v>
                </c:pt>
                <c:pt idx="8">
                  <c:v>0.02</c:v>
                </c:pt>
                <c:pt idx="9">
                  <c:v>2.2499999999999999E-2</c:v>
                </c:pt>
                <c:pt idx="10">
                  <c:v>2.5000000000000001E-2</c:v>
                </c:pt>
                <c:pt idx="11">
                  <c:v>2.75E-2</c:v>
                </c:pt>
                <c:pt idx="12">
                  <c:v>0.03</c:v>
                </c:pt>
                <c:pt idx="13">
                  <c:v>3.2500000000000001E-2</c:v>
                </c:pt>
                <c:pt idx="14">
                  <c:v>3.5000000000000003E-2</c:v>
                </c:pt>
                <c:pt idx="15">
                  <c:v>3.7499999999999999E-2</c:v>
                </c:pt>
                <c:pt idx="16">
                  <c:v>0.04</c:v>
                </c:pt>
                <c:pt idx="17">
                  <c:v>4.2500000000000003E-2</c:v>
                </c:pt>
                <c:pt idx="18">
                  <c:v>4.4999999999999998E-2</c:v>
                </c:pt>
                <c:pt idx="19">
                  <c:v>4.7500000000000001E-2</c:v>
                </c:pt>
                <c:pt idx="20">
                  <c:v>0.05</c:v>
                </c:pt>
              </c:numCache>
            </c:numRef>
          </c:cat>
          <c:val>
            <c:numRef>
              <c:f>'Rent or buy'!$D$39:$X$39</c:f>
              <c:numCache>
                <c:formatCode>#,##0.00\ "€";[Red]\-#,##0.00\ "€"</c:formatCode>
                <c:ptCount val="21"/>
                <c:pt idx="0">
                  <c:v>879725.98939084972</c:v>
                </c:pt>
                <c:pt idx="1">
                  <c:v>879725.98939084972</c:v>
                </c:pt>
                <c:pt idx="2">
                  <c:v>879725.98939084972</c:v>
                </c:pt>
                <c:pt idx="3">
                  <c:v>879725.98939084972</c:v>
                </c:pt>
                <c:pt idx="4">
                  <c:v>879725.98939084972</c:v>
                </c:pt>
                <c:pt idx="5">
                  <c:v>879725.98939084972</c:v>
                </c:pt>
                <c:pt idx="6">
                  <c:v>879725.98939084972</c:v>
                </c:pt>
                <c:pt idx="7">
                  <c:v>879725.98939084972</c:v>
                </c:pt>
                <c:pt idx="8">
                  <c:v>879725.98939084972</c:v>
                </c:pt>
                <c:pt idx="9">
                  <c:v>879725.98939084972</c:v>
                </c:pt>
                <c:pt idx="10">
                  <c:v>879725.98939084972</c:v>
                </c:pt>
                <c:pt idx="11">
                  <c:v>879725.98939084972</c:v>
                </c:pt>
                <c:pt idx="12">
                  <c:v>879725.98939084972</c:v>
                </c:pt>
                <c:pt idx="13">
                  <c:v>879725.98939084972</c:v>
                </c:pt>
                <c:pt idx="14">
                  <c:v>879725.98939084972</c:v>
                </c:pt>
                <c:pt idx="15">
                  <c:v>879725.98939084972</c:v>
                </c:pt>
                <c:pt idx="16">
                  <c:v>879725.98939084972</c:v>
                </c:pt>
                <c:pt idx="17">
                  <c:v>879725.98939084972</c:v>
                </c:pt>
                <c:pt idx="18">
                  <c:v>879725.98939084972</c:v>
                </c:pt>
                <c:pt idx="19">
                  <c:v>879725.98939084972</c:v>
                </c:pt>
                <c:pt idx="20">
                  <c:v>879725.98939084972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8-44FA-9D01-5F24B5386312}"/>
            </c:ext>
          </c:extLst>
        </c:ser>
        <c:ser>
          <c:idx val="1"/>
          <c:order val="1"/>
          <c:tx>
            <c:v>Renter savings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'Rent or buy'!$D$30:$X$30</c:f>
              <c:numCache>
                <c:formatCode>0.000%</c:formatCode>
                <c:ptCount val="21"/>
                <c:pt idx="0">
                  <c:v>0</c:v>
                </c:pt>
                <c:pt idx="1">
                  <c:v>2.5000000000000001E-3</c:v>
                </c:pt>
                <c:pt idx="2">
                  <c:v>5.0000000000000001E-3</c:v>
                </c:pt>
                <c:pt idx="3">
                  <c:v>7.4999999999999997E-3</c:v>
                </c:pt>
                <c:pt idx="4">
                  <c:v>0.01</c:v>
                </c:pt>
                <c:pt idx="5">
                  <c:v>1.2500000000000001E-2</c:v>
                </c:pt>
                <c:pt idx="6">
                  <c:v>1.4999999999999999E-2</c:v>
                </c:pt>
                <c:pt idx="7">
                  <c:v>1.7500000000000002E-2</c:v>
                </c:pt>
                <c:pt idx="8">
                  <c:v>0.02</c:v>
                </c:pt>
                <c:pt idx="9">
                  <c:v>2.2499999999999999E-2</c:v>
                </c:pt>
                <c:pt idx="10">
                  <c:v>2.5000000000000001E-2</c:v>
                </c:pt>
                <c:pt idx="11">
                  <c:v>2.75E-2</c:v>
                </c:pt>
                <c:pt idx="12">
                  <c:v>0.03</c:v>
                </c:pt>
                <c:pt idx="13">
                  <c:v>3.2500000000000001E-2</c:v>
                </c:pt>
                <c:pt idx="14">
                  <c:v>3.5000000000000003E-2</c:v>
                </c:pt>
                <c:pt idx="15">
                  <c:v>3.7499999999999999E-2</c:v>
                </c:pt>
                <c:pt idx="16">
                  <c:v>0.04</c:v>
                </c:pt>
                <c:pt idx="17">
                  <c:v>4.2500000000000003E-2</c:v>
                </c:pt>
                <c:pt idx="18">
                  <c:v>4.4999999999999998E-2</c:v>
                </c:pt>
                <c:pt idx="19">
                  <c:v>4.7500000000000001E-2</c:v>
                </c:pt>
                <c:pt idx="20">
                  <c:v>0.05</c:v>
                </c:pt>
              </c:numCache>
            </c:numRef>
          </c:cat>
          <c:val>
            <c:numRef>
              <c:f>'Rent or buy'!$D$43:$X$43</c:f>
              <c:numCache>
                <c:formatCode>#,##0.00\ "€";[Red]\-#,##0.00\ "€"</c:formatCode>
                <c:ptCount val="21"/>
                <c:pt idx="0">
                  <c:v>-319617.13698597031</c:v>
                </c:pt>
                <c:pt idx="1">
                  <c:v>-296554.8605338349</c:v>
                </c:pt>
                <c:pt idx="2">
                  <c:v>-273019.00497019419</c:v>
                </c:pt>
                <c:pt idx="3">
                  <c:v>-249010.27219167189</c:v>
                </c:pt>
                <c:pt idx="4">
                  <c:v>-224529.73090301035</c:v>
                </c:pt>
                <c:pt idx="5">
                  <c:v>-199578.81348790275</c:v>
                </c:pt>
                <c:pt idx="6">
                  <c:v>-174159.3118852051</c:v>
                </c:pt>
                <c:pt idx="7">
                  <c:v>-148273.37249340047</c:v>
                </c:pt>
                <c:pt idx="8">
                  <c:v>-121923.4901312677</c:v>
                </c:pt>
                <c:pt idx="9">
                  <c:v>-95112.501087549608</c:v>
                </c:pt>
                <c:pt idx="10">
                  <c:v>-67843.575296985684</c:v>
                </c:pt>
                <c:pt idx="11">
                  <c:v>-40120.207684291643</c:v>
                </c:pt>
                <c:pt idx="12">
                  <c:v>-11946.208721565548</c:v>
                </c:pt>
                <c:pt idx="13">
                  <c:v>16674.305751902866</c:v>
                </c:pt>
                <c:pt idx="14">
                  <c:v>45736.92539534776</c:v>
                </c:pt>
                <c:pt idx="15">
                  <c:v>75236.956863018917</c:v>
                </c:pt>
                <c:pt idx="16">
                  <c:v>105169.43587445928</c:v>
                </c:pt>
                <c:pt idx="17">
                  <c:v>135529.13979978045</c:v>
                </c:pt>
                <c:pt idx="18">
                  <c:v>166310.60069981508</c:v>
                </c:pt>
                <c:pt idx="19">
                  <c:v>197508.11876009119</c:v>
                </c:pt>
                <c:pt idx="20">
                  <c:v>229115.77605714306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18-44FA-9D01-5F24B5386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745250"/>
        <c:axId val="579109379"/>
      </c:lineChart>
      <c:catAx>
        <c:axId val="1203745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txPr>
          <a:bodyPr rot="-540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579109379"/>
        <c:crosses val="autoZero"/>
        <c:auto val="1"/>
        <c:lblAlgn val="ctr"/>
        <c:lblOffset val="100"/>
        <c:noMultiLvlLbl val="1"/>
      </c:catAx>
      <c:valAx>
        <c:axId val="579109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#,##0\ &quot;€&quot;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2037452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Cash savings of renters vs House value of owners after mortgage period
(as a function of the interest rate yielded by savings - all else, constant)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House value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'Rent or buy'!$D$56:$X$56</c:f>
              <c:numCache>
                <c:formatCode>0.00%</c:formatCode>
                <c:ptCount val="2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</c:numCache>
            </c:numRef>
          </c:cat>
          <c:val>
            <c:numRef>
              <c:f>'Rent or buy'!$D$54:$X$54</c:f>
              <c:numCache>
                <c:formatCode>#,##0.00\ "€";[Red]\-#,##0.00\ "€"</c:formatCode>
                <c:ptCount val="21"/>
                <c:pt idx="0">
                  <c:v>879725.98939084972</c:v>
                </c:pt>
                <c:pt idx="1">
                  <c:v>879725.98939084972</c:v>
                </c:pt>
                <c:pt idx="2">
                  <c:v>879725.98939084972</c:v>
                </c:pt>
                <c:pt idx="3">
                  <c:v>879725.98939084972</c:v>
                </c:pt>
                <c:pt idx="4">
                  <c:v>879725.98939084972</c:v>
                </c:pt>
                <c:pt idx="5">
                  <c:v>879725.98939084972</c:v>
                </c:pt>
                <c:pt idx="6">
                  <c:v>879725.98939084972</c:v>
                </c:pt>
                <c:pt idx="7">
                  <c:v>879725.98939084972</c:v>
                </c:pt>
                <c:pt idx="8">
                  <c:v>879725.98939084972</c:v>
                </c:pt>
                <c:pt idx="9">
                  <c:v>879725.98939084972</c:v>
                </c:pt>
                <c:pt idx="10">
                  <c:v>879725.98939084972</c:v>
                </c:pt>
                <c:pt idx="11">
                  <c:v>879725.98939084972</c:v>
                </c:pt>
                <c:pt idx="12">
                  <c:v>879725.98939084972</c:v>
                </c:pt>
                <c:pt idx="13">
                  <c:v>879725.98939084972</c:v>
                </c:pt>
                <c:pt idx="14">
                  <c:v>879725.98939084972</c:v>
                </c:pt>
                <c:pt idx="15">
                  <c:v>879725.98939084972</c:v>
                </c:pt>
                <c:pt idx="16">
                  <c:v>879725.98939084972</c:v>
                </c:pt>
                <c:pt idx="17">
                  <c:v>879725.98939084972</c:v>
                </c:pt>
                <c:pt idx="18">
                  <c:v>879725.98939084972</c:v>
                </c:pt>
                <c:pt idx="19">
                  <c:v>879725.98939084972</c:v>
                </c:pt>
                <c:pt idx="20">
                  <c:v>879725.98939084972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D-4683-B625-A0366B508B4B}"/>
            </c:ext>
          </c:extLst>
        </c:ser>
        <c:ser>
          <c:idx val="1"/>
          <c:order val="1"/>
          <c:tx>
            <c:v>Renter savings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'Rent or buy'!$D$56:$X$56</c:f>
              <c:numCache>
                <c:formatCode>0.00%</c:formatCode>
                <c:ptCount val="2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</c:numCache>
            </c:numRef>
          </c:cat>
          <c:val>
            <c:numRef>
              <c:f>'Rent or buy'!$D$58:$X$58</c:f>
              <c:numCache>
                <c:formatCode>#,##0.00\ "€";[Red]\-#,##0.00\ "€"</c:formatCode>
                <c:ptCount val="21"/>
                <c:pt idx="0">
                  <c:v>-116457.88935191394</c:v>
                </c:pt>
                <c:pt idx="1">
                  <c:v>-117205.28479287878</c:v>
                </c:pt>
                <c:pt idx="2">
                  <c:v>-117413.2574069165</c:v>
                </c:pt>
                <c:pt idx="3">
                  <c:v>-116968.89094491434</c:v>
                </c:pt>
                <c:pt idx="4">
                  <c:v>-115741.14610820785</c:v>
                </c:pt>
                <c:pt idx="5">
                  <c:v>-113578.20095725422</c:v>
                </c:pt>
                <c:pt idx="6">
                  <c:v>-110304.41761695436</c:v>
                </c:pt>
                <c:pt idx="7">
                  <c:v>-105716.88409523456</c:v>
                </c:pt>
                <c:pt idx="8">
                  <c:v>-99581.473138867237</c:v>
                </c:pt>
                <c:pt idx="9">
                  <c:v>-91628.352243528527</c:v>
                </c:pt>
                <c:pt idx="10">
                  <c:v>-81546.870089492179</c:v>
                </c:pt>
                <c:pt idx="11">
                  <c:v>-68979.734656086483</c:v>
                </c:pt>
                <c:pt idx="12">
                  <c:v>-53516.386922927399</c:v>
                </c:pt>
                <c:pt idx="13">
                  <c:v>-34685.461217382399</c:v>
                </c:pt>
                <c:pt idx="14">
                  <c:v>-11946.208721565548</c:v>
                </c:pt>
                <c:pt idx="15">
                  <c:v>15321.255815758021</c:v>
                </c:pt>
                <c:pt idx="16">
                  <c:v>47827.042758557014</c:v>
                </c:pt>
                <c:pt idx="17">
                  <c:v>86384.091348675196</c:v>
                </c:pt>
                <c:pt idx="18">
                  <c:v>131922.49212855205</c:v>
                </c:pt>
                <c:pt idx="19">
                  <c:v>185505.75861191854</c:v>
                </c:pt>
                <c:pt idx="20">
                  <c:v>248349.3093632306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D-4683-B625-A0366B508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334029"/>
        <c:axId val="967815749"/>
      </c:lineChart>
      <c:catAx>
        <c:axId val="2028334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txPr>
          <a:bodyPr rot="-540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967815749"/>
        <c:crosses val="autoZero"/>
        <c:auto val="1"/>
        <c:lblAlgn val="ctr"/>
        <c:lblOffset val="100"/>
        <c:noMultiLvlLbl val="1"/>
      </c:catAx>
      <c:valAx>
        <c:axId val="967815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#,##0\ &quot;€&quot;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20283340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Cash savings of renters vs House value of owners after mortgage period
(as a function of the downpayment - all else, constant)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House value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'Rent or buy'!$D$66:$X$66</c:f>
              <c:numCache>
                <c:formatCode>#,##0.00\ "€";[Red]\-#,##0.00\ "€"</c:formatCode>
                <c:ptCount val="21"/>
                <c:pt idx="0">
                  <c:v>0</c:v>
                </c:pt>
                <c:pt idx="1">
                  <c:v>25000</c:v>
                </c:pt>
                <c:pt idx="2">
                  <c:v>50000</c:v>
                </c:pt>
                <c:pt idx="3">
                  <c:v>75000</c:v>
                </c:pt>
                <c:pt idx="4">
                  <c:v>100000</c:v>
                </c:pt>
                <c:pt idx="5">
                  <c:v>125000</c:v>
                </c:pt>
                <c:pt idx="6">
                  <c:v>150000</c:v>
                </c:pt>
                <c:pt idx="7">
                  <c:v>175000</c:v>
                </c:pt>
                <c:pt idx="8">
                  <c:v>200000</c:v>
                </c:pt>
                <c:pt idx="9">
                  <c:v>225000</c:v>
                </c:pt>
                <c:pt idx="10">
                  <c:v>250000</c:v>
                </c:pt>
                <c:pt idx="11">
                  <c:v>275000</c:v>
                </c:pt>
                <c:pt idx="12">
                  <c:v>300000</c:v>
                </c:pt>
                <c:pt idx="13">
                  <c:v>325000</c:v>
                </c:pt>
                <c:pt idx="14">
                  <c:v>350000</c:v>
                </c:pt>
                <c:pt idx="15">
                  <c:v>375000</c:v>
                </c:pt>
                <c:pt idx="16">
                  <c:v>400000</c:v>
                </c:pt>
                <c:pt idx="17">
                  <c:v>425000</c:v>
                </c:pt>
                <c:pt idx="18">
                  <c:v>450000</c:v>
                </c:pt>
                <c:pt idx="19">
                  <c:v>475000</c:v>
                </c:pt>
                <c:pt idx="20">
                  <c:v>500000</c:v>
                </c:pt>
              </c:numCache>
            </c:numRef>
          </c:cat>
          <c:val>
            <c:numRef>
              <c:f>'Rent or buy'!$D$70:$X$70</c:f>
              <c:numCache>
                <c:formatCode>#,##0.00\ "€";[Red]\-#,##0.00\ "€"</c:formatCode>
                <c:ptCount val="21"/>
                <c:pt idx="0">
                  <c:v>879725.98939084972</c:v>
                </c:pt>
                <c:pt idx="1">
                  <c:v>879725.98939084972</c:v>
                </c:pt>
                <c:pt idx="2">
                  <c:v>879725.98939084972</c:v>
                </c:pt>
                <c:pt idx="3">
                  <c:v>879725.98939084972</c:v>
                </c:pt>
                <c:pt idx="4">
                  <c:v>879725.98939084972</c:v>
                </c:pt>
                <c:pt idx="5">
                  <c:v>879725.98939084972</c:v>
                </c:pt>
                <c:pt idx="6">
                  <c:v>879725.98939084972</c:v>
                </c:pt>
                <c:pt idx="7">
                  <c:v>879725.98939084972</c:v>
                </c:pt>
                <c:pt idx="8">
                  <c:v>879725.98939084972</c:v>
                </c:pt>
                <c:pt idx="9">
                  <c:v>879725.98939084972</c:v>
                </c:pt>
                <c:pt idx="10">
                  <c:v>879725.98939084972</c:v>
                </c:pt>
                <c:pt idx="11">
                  <c:v>879725.98939084972</c:v>
                </c:pt>
                <c:pt idx="12">
                  <c:v>879725.98939084972</c:v>
                </c:pt>
                <c:pt idx="13">
                  <c:v>879725.98939084972</c:v>
                </c:pt>
                <c:pt idx="14">
                  <c:v>879725.98939084972</c:v>
                </c:pt>
                <c:pt idx="15">
                  <c:v>879725.98939084972</c:v>
                </c:pt>
                <c:pt idx="16">
                  <c:v>879725.98939084972</c:v>
                </c:pt>
                <c:pt idx="17">
                  <c:v>879725.98939084972</c:v>
                </c:pt>
                <c:pt idx="18">
                  <c:v>879725.98939084972</c:v>
                </c:pt>
                <c:pt idx="19">
                  <c:v>879725.98939084972</c:v>
                </c:pt>
                <c:pt idx="20">
                  <c:v>879725.98939084972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D-4419-9CF3-715E034A50DC}"/>
            </c:ext>
          </c:extLst>
        </c:ser>
        <c:ser>
          <c:idx val="1"/>
          <c:order val="1"/>
          <c:tx>
            <c:v>Renter savings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'Rent or buy'!$D$66:$X$66</c:f>
              <c:numCache>
                <c:formatCode>#,##0.00\ "€";[Red]\-#,##0.00\ "€"</c:formatCode>
                <c:ptCount val="21"/>
                <c:pt idx="0">
                  <c:v>0</c:v>
                </c:pt>
                <c:pt idx="1">
                  <c:v>25000</c:v>
                </c:pt>
                <c:pt idx="2">
                  <c:v>50000</c:v>
                </c:pt>
                <c:pt idx="3">
                  <c:v>75000</c:v>
                </c:pt>
                <c:pt idx="4">
                  <c:v>100000</c:v>
                </c:pt>
                <c:pt idx="5">
                  <c:v>125000</c:v>
                </c:pt>
                <c:pt idx="6">
                  <c:v>150000</c:v>
                </c:pt>
                <c:pt idx="7">
                  <c:v>175000</c:v>
                </c:pt>
                <c:pt idx="8">
                  <c:v>200000</c:v>
                </c:pt>
                <c:pt idx="9">
                  <c:v>225000</c:v>
                </c:pt>
                <c:pt idx="10">
                  <c:v>250000</c:v>
                </c:pt>
                <c:pt idx="11">
                  <c:v>275000</c:v>
                </c:pt>
                <c:pt idx="12">
                  <c:v>300000</c:v>
                </c:pt>
                <c:pt idx="13">
                  <c:v>325000</c:v>
                </c:pt>
                <c:pt idx="14">
                  <c:v>350000</c:v>
                </c:pt>
                <c:pt idx="15">
                  <c:v>375000</c:v>
                </c:pt>
                <c:pt idx="16">
                  <c:v>400000</c:v>
                </c:pt>
                <c:pt idx="17">
                  <c:v>425000</c:v>
                </c:pt>
                <c:pt idx="18">
                  <c:v>450000</c:v>
                </c:pt>
                <c:pt idx="19">
                  <c:v>475000</c:v>
                </c:pt>
                <c:pt idx="20">
                  <c:v>500000</c:v>
                </c:pt>
              </c:numCache>
            </c:numRef>
          </c:cat>
          <c:val>
            <c:numRef>
              <c:f>'Rent or buy'!$D$74:$X$74</c:f>
              <c:numCache>
                <c:formatCode>#,##0.00\ "€";[Red]\-#,##0.00\ "€"</c:formatCode>
                <c:ptCount val="21"/>
                <c:pt idx="0">
                  <c:v>-584488.02965171263</c:v>
                </c:pt>
                <c:pt idx="1">
                  <c:v>-441352.57441917586</c:v>
                </c:pt>
                <c:pt idx="2">
                  <c:v>-298217.11918663909</c:v>
                </c:pt>
                <c:pt idx="3">
                  <c:v>-155081.66395410232</c:v>
                </c:pt>
                <c:pt idx="4">
                  <c:v>-11946.208721565548</c:v>
                </c:pt>
                <c:pt idx="5">
                  <c:v>131189.24651097122</c:v>
                </c:pt>
                <c:pt idx="6">
                  <c:v>274324.70174350799</c:v>
                </c:pt>
                <c:pt idx="7">
                  <c:v>417460.15697604476</c:v>
                </c:pt>
                <c:pt idx="8">
                  <c:v>560595.61220858153</c:v>
                </c:pt>
                <c:pt idx="9">
                  <c:v>703731.06744111818</c:v>
                </c:pt>
                <c:pt idx="10">
                  <c:v>846866.52267365507</c:v>
                </c:pt>
                <c:pt idx="11">
                  <c:v>990001.97790619172</c:v>
                </c:pt>
                <c:pt idx="12">
                  <c:v>1133137.4331387286</c:v>
                </c:pt>
                <c:pt idx="13">
                  <c:v>1276272.8883712653</c:v>
                </c:pt>
                <c:pt idx="14">
                  <c:v>1419408.3436038021</c:v>
                </c:pt>
                <c:pt idx="15">
                  <c:v>1562543.7988363388</c:v>
                </c:pt>
                <c:pt idx="16">
                  <c:v>1705679.2540688757</c:v>
                </c:pt>
                <c:pt idx="17">
                  <c:v>1848814.7093014126</c:v>
                </c:pt>
                <c:pt idx="18">
                  <c:v>1991950.164533949</c:v>
                </c:pt>
                <c:pt idx="19">
                  <c:v>2135085.6197664859</c:v>
                </c:pt>
                <c:pt idx="20">
                  <c:v>2278221.0749990228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D-4419-9CF3-715E034A5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546011"/>
        <c:axId val="656714679"/>
      </c:lineChart>
      <c:catAx>
        <c:axId val="111546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#,##0\ &quot;€&quot;" sourceLinked="0"/>
        <c:majorTickMark val="none"/>
        <c:minorTickMark val="none"/>
        <c:tickLblPos val="nextTo"/>
        <c:txPr>
          <a:bodyPr rot="-540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656714679"/>
        <c:crosses val="autoZero"/>
        <c:auto val="1"/>
        <c:lblAlgn val="ctr"/>
        <c:lblOffset val="100"/>
        <c:noMultiLvlLbl val="1"/>
      </c:catAx>
      <c:valAx>
        <c:axId val="656714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DE"/>
              </a:p>
            </c:rich>
          </c:tx>
          <c:overlay val="0"/>
        </c:title>
        <c:numFmt formatCode="#,##0\ &quot;€&quot;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DE"/>
          </a:p>
        </c:txPr>
        <c:crossAx val="1115460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0</xdr:row>
      <xdr:rowOff>114300</xdr:rowOff>
    </xdr:from>
    <xdr:ext cx="8543925" cy="2190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0ABD1-FF3C-4DF2-B85F-85F39FD0E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152400</xdr:colOff>
      <xdr:row>9</xdr:row>
      <xdr:rowOff>209550</xdr:rowOff>
    </xdr:from>
    <xdr:ext cx="8543925" cy="22479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1DC787-58B0-430C-84F1-8989E93BC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152400</xdr:colOff>
      <xdr:row>18</xdr:row>
      <xdr:rowOff>190500</xdr:rowOff>
    </xdr:from>
    <xdr:ext cx="8543925" cy="228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5042DF-E7F8-448B-9E8D-293423091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cs/Cuentas/Inversion.xlsm" TargetMode="External"/><Relationship Id="rId2" Type="http://schemas.openxmlformats.org/officeDocument/2006/relationships/externalLinkPath" Target="file:///D:\Docs\Cuentas\Inversion.xlsm" TargetMode="External"/><Relationship Id="rId1" Type="http://schemas.openxmlformats.org/officeDocument/2006/relationships/externalLinkPath" Target="/Docs/Cuentas/Invers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ciedades Limitadas"/>
      <sheetName val="Mortgage with S.L."/>
      <sheetName val="Mortgage"/>
      <sheetName val="Plan"/>
      <sheetName val="Roadmap"/>
      <sheetName val="Investment options"/>
      <sheetName val="Casa con BTC"/>
      <sheetName val="Monthly budget (RO)"/>
      <sheetName val="JMfinder stats"/>
      <sheetName val="Yearly costs (RO)"/>
      <sheetName val="Doña Enriqueta"/>
      <sheetName val="Rent or buy"/>
      <sheetName val="Arbitrage"/>
      <sheetName val="Leveraged investment"/>
      <sheetName val="Spending strategies"/>
      <sheetName val="Call options"/>
      <sheetName val="Exchange"/>
      <sheetName val="JM Latitude privmsg"/>
      <sheetName val="JM Yoga privmsg"/>
      <sheetName val="Mudanza"/>
      <sheetName val="BTCEUR_BKP"/>
      <sheetName val="JM dashboard"/>
      <sheetName val="JM Latitude"/>
      <sheetName val="JM Yoga"/>
      <sheetName val="Búsqueda casa"/>
      <sheetName val="BTCEUR"/>
      <sheetName val="BTCEUR_"/>
      <sheetName val="Constants"/>
      <sheetName val="JM dashboard_BKP"/>
      <sheetName val="JM Latitude_BKP"/>
      <sheetName val="JM Yoga_BKP"/>
      <sheetName val="What-if 30k"/>
      <sheetName val="What-if 40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0">
          <cell r="D30">
            <v>0</v>
          </cell>
          <cell r="E30">
            <v>2.5000000000000001E-3</v>
          </cell>
          <cell r="F30">
            <v>5.0000000000000001E-3</v>
          </cell>
          <cell r="G30">
            <v>7.4999999999999997E-3</v>
          </cell>
          <cell r="H30">
            <v>0.01</v>
          </cell>
          <cell r="I30">
            <v>1.2500000000000001E-2</v>
          </cell>
          <cell r="J30">
            <v>1.4999999999999999E-2</v>
          </cell>
          <cell r="K30">
            <v>1.7500000000000002E-2</v>
          </cell>
          <cell r="L30">
            <v>0.02</v>
          </cell>
          <cell r="M30">
            <v>2.2499999999999999E-2</v>
          </cell>
          <cell r="N30">
            <v>2.5000000000000001E-2</v>
          </cell>
          <cell r="O30">
            <v>2.75E-2</v>
          </cell>
          <cell r="P30">
            <v>0.03</v>
          </cell>
          <cell r="Q30">
            <v>3.2500000000000001E-2</v>
          </cell>
          <cell r="R30">
            <v>3.5000000000000003E-2</v>
          </cell>
          <cell r="S30">
            <v>3.7499999999999999E-2</v>
          </cell>
          <cell r="T30">
            <v>0.04</v>
          </cell>
          <cell r="U30">
            <v>4.2500000000000003E-2</v>
          </cell>
          <cell r="V30">
            <v>4.4999999999999998E-2</v>
          </cell>
          <cell r="W30">
            <v>4.7500000000000001E-2</v>
          </cell>
          <cell r="X30">
            <v>0.05</v>
          </cell>
        </row>
        <row r="39">
          <cell r="D39">
            <v>879725.98939084972</v>
          </cell>
          <cell r="E39">
            <v>879725.98939084972</v>
          </cell>
          <cell r="F39">
            <v>879725.98939084972</v>
          </cell>
          <cell r="G39">
            <v>879725.98939084972</v>
          </cell>
          <cell r="H39">
            <v>879725.98939084972</v>
          </cell>
          <cell r="I39">
            <v>879725.98939084972</v>
          </cell>
          <cell r="J39">
            <v>879725.98939084972</v>
          </cell>
          <cell r="K39">
            <v>879725.98939084972</v>
          </cell>
          <cell r="L39">
            <v>879725.98939084972</v>
          </cell>
          <cell r="M39">
            <v>879725.98939084972</v>
          </cell>
          <cell r="N39">
            <v>879725.98939084972</v>
          </cell>
          <cell r="O39">
            <v>879725.98939084972</v>
          </cell>
          <cell r="P39">
            <v>879725.98939084972</v>
          </cell>
          <cell r="Q39">
            <v>879725.98939084972</v>
          </cell>
          <cell r="R39">
            <v>879725.98939084972</v>
          </cell>
          <cell r="S39">
            <v>879725.98939084972</v>
          </cell>
          <cell r="T39">
            <v>879725.98939084972</v>
          </cell>
          <cell r="U39">
            <v>879725.98939084972</v>
          </cell>
          <cell r="V39">
            <v>879725.98939084972</v>
          </cell>
          <cell r="W39">
            <v>879725.98939084972</v>
          </cell>
          <cell r="X39">
            <v>879725.98939084972</v>
          </cell>
        </row>
        <row r="43">
          <cell r="D43">
            <v>-319617.13698597031</v>
          </cell>
          <cell r="E43">
            <v>-296554.8605338349</v>
          </cell>
          <cell r="F43">
            <v>-273019.00497019419</v>
          </cell>
          <cell r="G43">
            <v>-249010.27219167189</v>
          </cell>
          <cell r="H43">
            <v>-224529.73090301035</v>
          </cell>
          <cell r="I43">
            <v>-199578.81348790275</v>
          </cell>
          <cell r="J43">
            <v>-174159.3118852051</v>
          </cell>
          <cell r="K43">
            <v>-148273.37249340047</v>
          </cell>
          <cell r="L43">
            <v>-121923.4901312677</v>
          </cell>
          <cell r="M43">
            <v>-95112.501087549608</v>
          </cell>
          <cell r="N43">
            <v>-67843.575296985684</v>
          </cell>
          <cell r="O43">
            <v>-40120.207684291643</v>
          </cell>
          <cell r="P43">
            <v>-11946.208721565548</v>
          </cell>
          <cell r="Q43">
            <v>16674.305751902866</v>
          </cell>
          <cell r="R43">
            <v>45736.92539534776</v>
          </cell>
          <cell r="S43">
            <v>75236.956863018917</v>
          </cell>
          <cell r="T43">
            <v>105169.43587445928</v>
          </cell>
          <cell r="U43">
            <v>135529.13979978045</v>
          </cell>
          <cell r="V43">
            <v>166310.60069981508</v>
          </cell>
          <cell r="W43">
            <v>197508.11876009119</v>
          </cell>
          <cell r="X43">
            <v>229115.77605714306</v>
          </cell>
        </row>
        <row r="54">
          <cell r="D54">
            <v>879725.98939084972</v>
          </cell>
          <cell r="E54">
            <v>879725.98939084972</v>
          </cell>
          <cell r="F54">
            <v>879725.98939084972</v>
          </cell>
          <cell r="G54">
            <v>879725.98939084972</v>
          </cell>
          <cell r="H54">
            <v>879725.98939084972</v>
          </cell>
          <cell r="I54">
            <v>879725.98939084972</v>
          </cell>
          <cell r="J54">
            <v>879725.98939084972</v>
          </cell>
          <cell r="K54">
            <v>879725.98939084972</v>
          </cell>
          <cell r="L54">
            <v>879725.98939084972</v>
          </cell>
          <cell r="M54">
            <v>879725.98939084972</v>
          </cell>
          <cell r="N54">
            <v>879725.98939084972</v>
          </cell>
          <cell r="O54">
            <v>879725.98939084972</v>
          </cell>
          <cell r="P54">
            <v>879725.98939084972</v>
          </cell>
          <cell r="Q54">
            <v>879725.98939084972</v>
          </cell>
          <cell r="R54">
            <v>879725.98939084972</v>
          </cell>
          <cell r="S54">
            <v>879725.98939084972</v>
          </cell>
          <cell r="T54">
            <v>879725.98939084972</v>
          </cell>
          <cell r="U54">
            <v>879725.98939084972</v>
          </cell>
          <cell r="V54">
            <v>879725.98939084972</v>
          </cell>
          <cell r="W54">
            <v>879725.98939084972</v>
          </cell>
          <cell r="X54">
            <v>879725.98939084972</v>
          </cell>
        </row>
        <row r="56">
          <cell r="D56">
            <v>0</v>
          </cell>
          <cell r="E56">
            <v>5.0000000000000001E-3</v>
          </cell>
          <cell r="F56">
            <v>0.01</v>
          </cell>
          <cell r="G56">
            <v>1.4999999999999999E-2</v>
          </cell>
          <cell r="H56">
            <v>0.02</v>
          </cell>
          <cell r="I56">
            <v>2.5000000000000001E-2</v>
          </cell>
          <cell r="J56">
            <v>0.03</v>
          </cell>
          <cell r="K56">
            <v>3.5000000000000003E-2</v>
          </cell>
          <cell r="L56">
            <v>0.04</v>
          </cell>
          <cell r="M56">
            <v>4.4999999999999998E-2</v>
          </cell>
          <cell r="N56">
            <v>0.05</v>
          </cell>
          <cell r="O56">
            <v>5.5E-2</v>
          </cell>
          <cell r="P56">
            <v>0.06</v>
          </cell>
          <cell r="Q56">
            <v>6.5000000000000002E-2</v>
          </cell>
          <cell r="R56">
            <v>7.0000000000000007E-2</v>
          </cell>
          <cell r="S56">
            <v>7.4999999999999997E-2</v>
          </cell>
          <cell r="T56">
            <v>0.08</v>
          </cell>
          <cell r="U56">
            <v>8.5000000000000006E-2</v>
          </cell>
          <cell r="V56">
            <v>0.09</v>
          </cell>
          <cell r="W56">
            <v>9.5000000000000001E-2</v>
          </cell>
          <cell r="X56">
            <v>0.1</v>
          </cell>
        </row>
        <row r="58">
          <cell r="D58">
            <v>-116457.88935191394</v>
          </cell>
          <cell r="E58">
            <v>-117205.28479287878</v>
          </cell>
          <cell r="F58">
            <v>-117413.2574069165</v>
          </cell>
          <cell r="G58">
            <v>-116968.89094491434</v>
          </cell>
          <cell r="H58">
            <v>-115741.14610820785</v>
          </cell>
          <cell r="I58">
            <v>-113578.20095725422</v>
          </cell>
          <cell r="J58">
            <v>-110304.41761695436</v>
          </cell>
          <cell r="K58">
            <v>-105716.88409523456</v>
          </cell>
          <cell r="L58">
            <v>-99581.473138867237</v>
          </cell>
          <cell r="M58">
            <v>-91628.352243528527</v>
          </cell>
          <cell r="N58">
            <v>-81546.870089492179</v>
          </cell>
          <cell r="O58">
            <v>-68979.734656086483</v>
          </cell>
          <cell r="P58">
            <v>-53516.386922927399</v>
          </cell>
          <cell r="Q58">
            <v>-34685.461217382399</v>
          </cell>
          <cell r="R58">
            <v>-11946.208721565548</v>
          </cell>
          <cell r="S58">
            <v>15321.255815758021</v>
          </cell>
          <cell r="T58">
            <v>47827.042758557014</v>
          </cell>
          <cell r="U58">
            <v>86384.091348675196</v>
          </cell>
          <cell r="V58">
            <v>131922.49212855205</v>
          </cell>
          <cell r="W58">
            <v>185505.75861191854</v>
          </cell>
          <cell r="X58">
            <v>248349.3093632306</v>
          </cell>
        </row>
        <row r="66">
          <cell r="D66">
            <v>0</v>
          </cell>
          <cell r="E66">
            <v>25000</v>
          </cell>
          <cell r="F66">
            <v>50000</v>
          </cell>
          <cell r="G66">
            <v>75000</v>
          </cell>
          <cell r="H66">
            <v>100000</v>
          </cell>
          <cell r="I66">
            <v>125000</v>
          </cell>
          <cell r="J66">
            <v>150000</v>
          </cell>
          <cell r="K66">
            <v>175000</v>
          </cell>
          <cell r="L66">
            <v>200000</v>
          </cell>
          <cell r="M66">
            <v>225000</v>
          </cell>
          <cell r="N66">
            <v>250000</v>
          </cell>
          <cell r="O66">
            <v>275000</v>
          </cell>
          <cell r="P66">
            <v>300000</v>
          </cell>
          <cell r="Q66">
            <v>325000</v>
          </cell>
          <cell r="R66">
            <v>350000</v>
          </cell>
          <cell r="S66">
            <v>375000</v>
          </cell>
          <cell r="T66">
            <v>400000</v>
          </cell>
          <cell r="U66">
            <v>425000</v>
          </cell>
          <cell r="V66">
            <v>450000</v>
          </cell>
          <cell r="W66">
            <v>475000</v>
          </cell>
          <cell r="X66">
            <v>500000</v>
          </cell>
        </row>
        <row r="70">
          <cell r="D70">
            <v>879725.98939084972</v>
          </cell>
          <cell r="E70">
            <v>879725.98939084972</v>
          </cell>
          <cell r="F70">
            <v>879725.98939084972</v>
          </cell>
          <cell r="G70">
            <v>879725.98939084972</v>
          </cell>
          <cell r="H70">
            <v>879725.98939084972</v>
          </cell>
          <cell r="I70">
            <v>879725.98939084972</v>
          </cell>
          <cell r="J70">
            <v>879725.98939084972</v>
          </cell>
          <cell r="K70">
            <v>879725.98939084972</v>
          </cell>
          <cell r="L70">
            <v>879725.98939084972</v>
          </cell>
          <cell r="M70">
            <v>879725.98939084972</v>
          </cell>
          <cell r="N70">
            <v>879725.98939084972</v>
          </cell>
          <cell r="O70">
            <v>879725.98939084972</v>
          </cell>
          <cell r="P70">
            <v>879725.98939084972</v>
          </cell>
          <cell r="Q70">
            <v>879725.98939084972</v>
          </cell>
          <cell r="R70">
            <v>879725.98939084972</v>
          </cell>
          <cell r="S70">
            <v>879725.98939084972</v>
          </cell>
          <cell r="T70">
            <v>879725.98939084972</v>
          </cell>
          <cell r="U70">
            <v>879725.98939084972</v>
          </cell>
          <cell r="V70">
            <v>879725.98939084972</v>
          </cell>
          <cell r="W70">
            <v>879725.98939084972</v>
          </cell>
          <cell r="X70">
            <v>879725.98939084972</v>
          </cell>
        </row>
        <row r="74">
          <cell r="D74">
            <v>-584488.02965171263</v>
          </cell>
          <cell r="E74">
            <v>-441352.57441917586</v>
          </cell>
          <cell r="F74">
            <v>-298217.11918663909</v>
          </cell>
          <cell r="G74">
            <v>-155081.66395410232</v>
          </cell>
          <cell r="H74">
            <v>-11946.208721565548</v>
          </cell>
          <cell r="I74">
            <v>131189.24651097122</v>
          </cell>
          <cell r="J74">
            <v>274324.70174350799</v>
          </cell>
          <cell r="K74">
            <v>417460.15697604476</v>
          </cell>
          <cell r="L74">
            <v>560595.61220858153</v>
          </cell>
          <cell r="M74">
            <v>703731.06744111818</v>
          </cell>
          <cell r="N74">
            <v>846866.52267365507</v>
          </cell>
          <cell r="O74">
            <v>990001.97790619172</v>
          </cell>
          <cell r="P74">
            <v>1133137.4331387286</v>
          </cell>
          <cell r="Q74">
            <v>1276272.8883712653</v>
          </cell>
          <cell r="R74">
            <v>1419408.3436038021</v>
          </cell>
          <cell r="S74">
            <v>1562543.7988363388</v>
          </cell>
          <cell r="T74">
            <v>1705679.2540688757</v>
          </cell>
          <cell r="U74">
            <v>1848814.7093014126</v>
          </cell>
          <cell r="V74">
            <v>1991950.164533949</v>
          </cell>
          <cell r="W74">
            <v>2135085.6197664859</v>
          </cell>
          <cell r="X74">
            <v>2278221.0749990228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9749-8350-432C-9E91-3F02755DA756}">
  <sheetPr codeName="Sheet26"/>
  <dimension ref="A1:Z1001"/>
  <sheetViews>
    <sheetView showGridLines="0" tabSelected="1" workbookViewId="0">
      <selection activeCell="C10" sqref="C10"/>
    </sheetView>
  </sheetViews>
  <sheetFormatPr defaultColWidth="14.42578125" defaultRowHeight="15" customHeight="1" x14ac:dyDescent="0.25"/>
  <cols>
    <col min="1" max="1" width="4.7109375" customWidth="1"/>
    <col min="2" max="2" width="8.7109375" customWidth="1"/>
    <col min="3" max="3" width="58.140625" customWidth="1"/>
    <col min="4" max="4" width="20.140625" customWidth="1"/>
    <col min="5" max="5" width="13.28515625" customWidth="1"/>
    <col min="6" max="24" width="13" customWidth="1"/>
    <col min="25" max="26" width="8.7109375" customWidth="1"/>
  </cols>
  <sheetData>
    <row r="1" spans="2:6" x14ac:dyDescent="0.25">
      <c r="D1" s="1"/>
      <c r="F1" s="2"/>
    </row>
    <row r="2" spans="2:6" ht="21.75" customHeight="1" x14ac:dyDescent="0.25">
      <c r="C2" s="3" t="s">
        <v>0</v>
      </c>
      <c r="D2" s="4">
        <v>100000</v>
      </c>
      <c r="F2" s="2"/>
    </row>
    <row r="3" spans="2:6" ht="6" customHeight="1" x14ac:dyDescent="0.25">
      <c r="D3" s="1"/>
      <c r="F3" s="2"/>
    </row>
    <row r="4" spans="2:6" ht="24" customHeight="1" x14ac:dyDescent="0.25">
      <c r="B4" s="5" t="s">
        <v>1</v>
      </c>
      <c r="C4" s="3" t="s">
        <v>2</v>
      </c>
      <c r="D4" s="6">
        <v>25</v>
      </c>
      <c r="F4" s="2"/>
    </row>
    <row r="5" spans="2:6" ht="24" customHeight="1" x14ac:dyDescent="0.25">
      <c r="B5" s="7"/>
      <c r="C5" s="8" t="s">
        <v>3</v>
      </c>
      <c r="D5" s="9">
        <f>D4*12</f>
        <v>300</v>
      </c>
      <c r="F5" s="2"/>
    </row>
    <row r="6" spans="2:6" ht="8.25" customHeight="1" x14ac:dyDescent="0.25">
      <c r="D6" s="1"/>
      <c r="F6" s="2"/>
    </row>
    <row r="7" spans="2:6" ht="24" customHeight="1" x14ac:dyDescent="0.25">
      <c r="B7" s="10" t="s">
        <v>4</v>
      </c>
      <c r="C7" s="11" t="s">
        <v>5</v>
      </c>
      <c r="D7" s="4">
        <v>330000</v>
      </c>
      <c r="F7" s="2"/>
    </row>
    <row r="8" spans="2:6" ht="24" customHeight="1" x14ac:dyDescent="0.25">
      <c r="B8" s="12"/>
      <c r="C8" s="11" t="s">
        <v>6</v>
      </c>
      <c r="D8" s="13">
        <v>0.12</v>
      </c>
      <c r="F8" s="2"/>
    </row>
    <row r="9" spans="2:6" ht="22.5" customHeight="1" x14ac:dyDescent="0.25">
      <c r="B9" s="12"/>
      <c r="C9" s="3" t="s">
        <v>7</v>
      </c>
      <c r="D9" s="13">
        <v>0.03</v>
      </c>
      <c r="F9" s="2"/>
    </row>
    <row r="10" spans="2:6" ht="23.25" customHeight="1" x14ac:dyDescent="0.25">
      <c r="B10" s="12"/>
      <c r="C10" s="3" t="s">
        <v>8</v>
      </c>
      <c r="D10" s="4">
        <v>2000</v>
      </c>
      <c r="F10" s="2"/>
    </row>
    <row r="11" spans="2:6" ht="23.25" customHeight="1" x14ac:dyDescent="0.25">
      <c r="B11" s="12"/>
      <c r="C11" s="3" t="s">
        <v>9</v>
      </c>
      <c r="D11" s="13">
        <v>0.04</v>
      </c>
      <c r="F11" s="2"/>
    </row>
    <row r="12" spans="2:6" ht="22.5" customHeight="1" x14ac:dyDescent="0.25">
      <c r="B12" s="12"/>
      <c r="C12" s="8" t="s">
        <v>10</v>
      </c>
      <c r="D12" s="14">
        <f>PMT(D16,D5,-D15)</f>
        <v>1278.4737021602868</v>
      </c>
      <c r="F12" s="2"/>
    </row>
    <row r="13" spans="2:6" ht="22.5" customHeight="1" x14ac:dyDescent="0.25">
      <c r="B13" s="12"/>
      <c r="C13" s="8" t="s">
        <v>11</v>
      </c>
      <c r="D13" s="14">
        <f>D12+D10/12</f>
        <v>1445.1403688269536</v>
      </c>
      <c r="F13" s="2"/>
    </row>
    <row r="14" spans="2:6" ht="24" customHeight="1" x14ac:dyDescent="0.25">
      <c r="B14" s="12"/>
      <c r="C14" s="15" t="s">
        <v>12</v>
      </c>
      <c r="D14" s="16">
        <f>D7*(1+D8)</f>
        <v>369600.00000000006</v>
      </c>
      <c r="F14" s="2"/>
    </row>
    <row r="15" spans="2:6" ht="24" customHeight="1" x14ac:dyDescent="0.25">
      <c r="B15" s="12"/>
      <c r="C15" s="8" t="s">
        <v>13</v>
      </c>
      <c r="D15" s="16">
        <f>D14-D2</f>
        <v>269600.00000000006</v>
      </c>
      <c r="F15" s="2"/>
    </row>
    <row r="16" spans="2:6" ht="22.5" customHeight="1" x14ac:dyDescent="0.25">
      <c r="B16" s="12"/>
      <c r="C16" s="8" t="s">
        <v>14</v>
      </c>
      <c r="D16" s="17">
        <f>D9/12</f>
        <v>2.5000000000000001E-3</v>
      </c>
      <c r="F16" s="2"/>
    </row>
    <row r="17" spans="1:26" ht="22.5" customHeight="1" x14ac:dyDescent="0.25">
      <c r="B17" s="12"/>
      <c r="C17" s="8" t="s">
        <v>15</v>
      </c>
      <c r="D17" s="16">
        <f>D12*D5</f>
        <v>383542.11064808606</v>
      </c>
      <c r="F17" s="2"/>
    </row>
    <row r="18" spans="1:26" ht="22.5" customHeight="1" x14ac:dyDescent="0.25">
      <c r="B18" s="12"/>
      <c r="C18" s="8" t="s">
        <v>16</v>
      </c>
      <c r="D18" s="16">
        <f>D17-D15</f>
        <v>113942.110648086</v>
      </c>
      <c r="F18" s="2"/>
    </row>
    <row r="19" spans="1:26" ht="23.25" customHeight="1" x14ac:dyDescent="0.25">
      <c r="B19" s="7"/>
      <c r="C19" s="8" t="s">
        <v>17</v>
      </c>
      <c r="D19" s="16">
        <f>D7*(1+D11)^D4</f>
        <v>879725.98939084972</v>
      </c>
      <c r="F19" s="2"/>
    </row>
    <row r="20" spans="1:26" ht="15.75" customHeight="1" x14ac:dyDescent="0.25">
      <c r="D20" s="1"/>
      <c r="F20" s="2"/>
    </row>
    <row r="21" spans="1:26" ht="24" customHeight="1" x14ac:dyDescent="0.25">
      <c r="B21" s="18" t="s">
        <v>18</v>
      </c>
      <c r="C21" s="3" t="s">
        <v>19</v>
      </c>
      <c r="D21" s="4">
        <v>2000</v>
      </c>
      <c r="F21" s="2"/>
    </row>
    <row r="22" spans="1:26" ht="24" customHeight="1" x14ac:dyDescent="0.25">
      <c r="B22" s="12"/>
      <c r="C22" s="3" t="s">
        <v>20</v>
      </c>
      <c r="D22" s="13">
        <v>7.0000000000000007E-2</v>
      </c>
      <c r="F22" s="2"/>
    </row>
    <row r="23" spans="1:26" ht="33" customHeight="1" x14ac:dyDescent="0.25">
      <c r="B23" s="12"/>
      <c r="C23" s="15" t="s">
        <v>21</v>
      </c>
      <c r="D23" s="16">
        <f>D12-D21+D10/12</f>
        <v>-554.85963117304652</v>
      </c>
      <c r="F23" s="2"/>
    </row>
    <row r="24" spans="1:26" ht="24" customHeight="1" x14ac:dyDescent="0.25">
      <c r="B24" s="12"/>
      <c r="C24" s="8" t="s">
        <v>22</v>
      </c>
      <c r="D24" s="16">
        <f>D21*D5</f>
        <v>600000</v>
      </c>
      <c r="F24" s="2"/>
    </row>
    <row r="25" spans="1:26" ht="24" customHeight="1" x14ac:dyDescent="0.25">
      <c r="B25" s="12"/>
      <c r="C25" s="8" t="s">
        <v>23</v>
      </c>
      <c r="D25" s="17">
        <f>D22/12</f>
        <v>5.8333333333333336E-3</v>
      </c>
      <c r="F25" s="2"/>
    </row>
    <row r="26" spans="1:26" ht="27" customHeight="1" x14ac:dyDescent="0.25">
      <c r="B26" s="7"/>
      <c r="C26" s="15" t="s">
        <v>24</v>
      </c>
      <c r="D26" s="16">
        <f>FV(D25,D5,-D23,-D2)</f>
        <v>123065.74011561932</v>
      </c>
      <c r="F26" s="2"/>
    </row>
    <row r="27" spans="1:26" ht="8.25" customHeight="1" x14ac:dyDescent="0.25">
      <c r="D27" s="1"/>
      <c r="F27" s="2"/>
    </row>
    <row r="28" spans="1:26" ht="15.75" customHeight="1" x14ac:dyDescent="0.25">
      <c r="D28" s="1"/>
      <c r="F28" s="2"/>
    </row>
    <row r="29" spans="1:26" ht="27" customHeight="1" x14ac:dyDescent="0.25">
      <c r="D29" s="1"/>
      <c r="F29" s="2"/>
    </row>
    <row r="30" spans="1:26" ht="27" customHeight="1" x14ac:dyDescent="0.25">
      <c r="A30" s="19"/>
      <c r="B30" s="19"/>
      <c r="C30" s="20" t="s">
        <v>25</v>
      </c>
      <c r="D30" s="21">
        <v>0</v>
      </c>
      <c r="E30" s="21">
        <v>2.5000000000000001E-3</v>
      </c>
      <c r="F30" s="21">
        <v>5.0000000000000001E-3</v>
      </c>
      <c r="G30" s="21">
        <v>7.4999999999999997E-3</v>
      </c>
      <c r="H30" s="21">
        <v>0.01</v>
      </c>
      <c r="I30" s="21">
        <v>1.2500000000000001E-2</v>
      </c>
      <c r="J30" s="21">
        <v>1.4999999999999999E-2</v>
      </c>
      <c r="K30" s="21">
        <v>1.7500000000000002E-2</v>
      </c>
      <c r="L30" s="21">
        <v>0.02</v>
      </c>
      <c r="M30" s="21">
        <v>2.2499999999999999E-2</v>
      </c>
      <c r="N30" s="21">
        <v>2.5000000000000001E-2</v>
      </c>
      <c r="O30" s="21">
        <v>2.75E-2</v>
      </c>
      <c r="P30" s="21">
        <v>0.03</v>
      </c>
      <c r="Q30" s="21">
        <v>3.2500000000000001E-2</v>
      </c>
      <c r="R30" s="21">
        <v>3.5000000000000003E-2</v>
      </c>
      <c r="S30" s="21">
        <v>3.7499999999999999E-2</v>
      </c>
      <c r="T30" s="21">
        <v>0.04</v>
      </c>
      <c r="U30" s="21">
        <v>4.2500000000000003E-2</v>
      </c>
      <c r="V30" s="21">
        <v>4.4999999999999998E-2</v>
      </c>
      <c r="W30" s="21">
        <v>4.7500000000000001E-2</v>
      </c>
      <c r="X30" s="21">
        <v>0.05</v>
      </c>
      <c r="Y30" s="19"/>
      <c r="Z30" s="19"/>
    </row>
    <row r="31" spans="1:26" ht="15.75" customHeight="1" x14ac:dyDescent="0.25">
      <c r="C31" s="22" t="s">
        <v>5</v>
      </c>
      <c r="D31" s="23">
        <f>$D$7</f>
        <v>330000</v>
      </c>
      <c r="E31" s="23">
        <f t="shared" ref="E31:X31" si="0">$D$31</f>
        <v>330000</v>
      </c>
      <c r="F31" s="23">
        <f t="shared" si="0"/>
        <v>330000</v>
      </c>
      <c r="G31" s="23">
        <f t="shared" si="0"/>
        <v>330000</v>
      </c>
      <c r="H31" s="23">
        <f t="shared" si="0"/>
        <v>330000</v>
      </c>
      <c r="I31" s="23">
        <f t="shared" si="0"/>
        <v>330000</v>
      </c>
      <c r="J31" s="23">
        <f t="shared" si="0"/>
        <v>330000</v>
      </c>
      <c r="K31" s="23">
        <f t="shared" si="0"/>
        <v>330000</v>
      </c>
      <c r="L31" s="23">
        <f t="shared" si="0"/>
        <v>330000</v>
      </c>
      <c r="M31" s="23">
        <f t="shared" si="0"/>
        <v>330000</v>
      </c>
      <c r="N31" s="23">
        <f t="shared" si="0"/>
        <v>330000</v>
      </c>
      <c r="O31" s="23">
        <f t="shared" si="0"/>
        <v>330000</v>
      </c>
      <c r="P31" s="23">
        <f t="shared" si="0"/>
        <v>330000</v>
      </c>
      <c r="Q31" s="23">
        <f t="shared" si="0"/>
        <v>330000</v>
      </c>
      <c r="R31" s="23">
        <f t="shared" si="0"/>
        <v>330000</v>
      </c>
      <c r="S31" s="23">
        <f t="shared" si="0"/>
        <v>330000</v>
      </c>
      <c r="T31" s="23">
        <f t="shared" si="0"/>
        <v>330000</v>
      </c>
      <c r="U31" s="23">
        <f t="shared" si="0"/>
        <v>330000</v>
      </c>
      <c r="V31" s="23">
        <f t="shared" si="0"/>
        <v>330000</v>
      </c>
      <c r="W31" s="23">
        <f t="shared" si="0"/>
        <v>330000</v>
      </c>
      <c r="X31" s="23">
        <f t="shared" si="0"/>
        <v>330000</v>
      </c>
    </row>
    <row r="32" spans="1:26" ht="15.75" customHeight="1" x14ac:dyDescent="0.25">
      <c r="C32" s="22" t="s">
        <v>13</v>
      </c>
      <c r="D32" s="23">
        <f>$D$15</f>
        <v>269600.00000000006</v>
      </c>
      <c r="E32" s="23">
        <f t="shared" ref="E32:X32" si="1">$D$32</f>
        <v>269600.00000000006</v>
      </c>
      <c r="F32" s="23">
        <f t="shared" si="1"/>
        <v>269600.00000000006</v>
      </c>
      <c r="G32" s="23">
        <f t="shared" si="1"/>
        <v>269600.00000000006</v>
      </c>
      <c r="H32" s="23">
        <f t="shared" si="1"/>
        <v>269600.00000000006</v>
      </c>
      <c r="I32" s="23">
        <f t="shared" si="1"/>
        <v>269600.00000000006</v>
      </c>
      <c r="J32" s="23">
        <f t="shared" si="1"/>
        <v>269600.00000000006</v>
      </c>
      <c r="K32" s="23">
        <f t="shared" si="1"/>
        <v>269600.00000000006</v>
      </c>
      <c r="L32" s="23">
        <f t="shared" si="1"/>
        <v>269600.00000000006</v>
      </c>
      <c r="M32" s="23">
        <f t="shared" si="1"/>
        <v>269600.00000000006</v>
      </c>
      <c r="N32" s="23">
        <f t="shared" si="1"/>
        <v>269600.00000000006</v>
      </c>
      <c r="O32" s="23">
        <f t="shared" si="1"/>
        <v>269600.00000000006</v>
      </c>
      <c r="P32" s="23">
        <f t="shared" si="1"/>
        <v>269600.00000000006</v>
      </c>
      <c r="Q32" s="23">
        <f t="shared" si="1"/>
        <v>269600.00000000006</v>
      </c>
      <c r="R32" s="23">
        <f t="shared" si="1"/>
        <v>269600.00000000006</v>
      </c>
      <c r="S32" s="23">
        <f t="shared" si="1"/>
        <v>269600.00000000006</v>
      </c>
      <c r="T32" s="23">
        <f t="shared" si="1"/>
        <v>269600.00000000006</v>
      </c>
      <c r="U32" s="23">
        <f t="shared" si="1"/>
        <v>269600.00000000006</v>
      </c>
      <c r="V32" s="23">
        <f t="shared" si="1"/>
        <v>269600.00000000006</v>
      </c>
      <c r="W32" s="23">
        <f t="shared" si="1"/>
        <v>269600.00000000006</v>
      </c>
      <c r="X32" s="23">
        <f t="shared" si="1"/>
        <v>269600.00000000006</v>
      </c>
    </row>
    <row r="33" spans="1:26" ht="15.75" customHeight="1" x14ac:dyDescent="0.25">
      <c r="C33" s="22" t="s">
        <v>26</v>
      </c>
      <c r="D33" s="24">
        <f>$D$4</f>
        <v>25</v>
      </c>
      <c r="E33" s="24">
        <f t="shared" ref="E33:X33" si="2">$D$33</f>
        <v>25</v>
      </c>
      <c r="F33" s="24">
        <f t="shared" si="2"/>
        <v>25</v>
      </c>
      <c r="G33" s="24">
        <f t="shared" si="2"/>
        <v>25</v>
      </c>
      <c r="H33" s="24">
        <f t="shared" si="2"/>
        <v>25</v>
      </c>
      <c r="I33" s="24">
        <f t="shared" si="2"/>
        <v>25</v>
      </c>
      <c r="J33" s="24">
        <f t="shared" si="2"/>
        <v>25</v>
      </c>
      <c r="K33" s="24">
        <f t="shared" si="2"/>
        <v>25</v>
      </c>
      <c r="L33" s="24">
        <f t="shared" si="2"/>
        <v>25</v>
      </c>
      <c r="M33" s="24">
        <f t="shared" si="2"/>
        <v>25</v>
      </c>
      <c r="N33" s="24">
        <f t="shared" si="2"/>
        <v>25</v>
      </c>
      <c r="O33" s="24">
        <f t="shared" si="2"/>
        <v>25</v>
      </c>
      <c r="P33" s="24">
        <f t="shared" si="2"/>
        <v>25</v>
      </c>
      <c r="Q33" s="24">
        <f t="shared" si="2"/>
        <v>25</v>
      </c>
      <c r="R33" s="24">
        <f t="shared" si="2"/>
        <v>25</v>
      </c>
      <c r="S33" s="24">
        <f t="shared" si="2"/>
        <v>25</v>
      </c>
      <c r="T33" s="24">
        <f t="shared" si="2"/>
        <v>25</v>
      </c>
      <c r="U33" s="24">
        <f t="shared" si="2"/>
        <v>25</v>
      </c>
      <c r="V33" s="24">
        <f t="shared" si="2"/>
        <v>25</v>
      </c>
      <c r="W33" s="24">
        <f t="shared" si="2"/>
        <v>25</v>
      </c>
      <c r="X33" s="24">
        <f t="shared" si="2"/>
        <v>25</v>
      </c>
    </row>
    <row r="34" spans="1:26" ht="15.75" customHeight="1" x14ac:dyDescent="0.25">
      <c r="A34" s="25"/>
      <c r="B34" s="25"/>
      <c r="C34" s="22" t="s">
        <v>3</v>
      </c>
      <c r="D34" s="24">
        <f>$D$5</f>
        <v>300</v>
      </c>
      <c r="E34" s="24">
        <f t="shared" ref="E34:X34" si="3">$D$34</f>
        <v>300</v>
      </c>
      <c r="F34" s="24">
        <f t="shared" si="3"/>
        <v>300</v>
      </c>
      <c r="G34" s="24">
        <f t="shared" si="3"/>
        <v>300</v>
      </c>
      <c r="H34" s="24">
        <f t="shared" si="3"/>
        <v>300</v>
      </c>
      <c r="I34" s="24">
        <f t="shared" si="3"/>
        <v>300</v>
      </c>
      <c r="J34" s="24">
        <f t="shared" si="3"/>
        <v>300</v>
      </c>
      <c r="K34" s="24">
        <f t="shared" si="3"/>
        <v>300</v>
      </c>
      <c r="L34" s="24">
        <f t="shared" si="3"/>
        <v>300</v>
      </c>
      <c r="M34" s="24">
        <f t="shared" si="3"/>
        <v>300</v>
      </c>
      <c r="N34" s="24">
        <f t="shared" si="3"/>
        <v>300</v>
      </c>
      <c r="O34" s="24">
        <f t="shared" si="3"/>
        <v>300</v>
      </c>
      <c r="P34" s="24">
        <f t="shared" si="3"/>
        <v>300</v>
      </c>
      <c r="Q34" s="24">
        <f t="shared" si="3"/>
        <v>300</v>
      </c>
      <c r="R34" s="24">
        <f t="shared" si="3"/>
        <v>300</v>
      </c>
      <c r="S34" s="24">
        <f t="shared" si="3"/>
        <v>300</v>
      </c>
      <c r="T34" s="24">
        <f t="shared" si="3"/>
        <v>300</v>
      </c>
      <c r="U34" s="24">
        <f t="shared" si="3"/>
        <v>300</v>
      </c>
      <c r="V34" s="24">
        <f t="shared" si="3"/>
        <v>300</v>
      </c>
      <c r="W34" s="24">
        <f t="shared" si="3"/>
        <v>300</v>
      </c>
      <c r="X34" s="24">
        <f t="shared" si="3"/>
        <v>300</v>
      </c>
      <c r="Y34" s="25"/>
      <c r="Z34" s="25"/>
    </row>
    <row r="35" spans="1:26" ht="15.75" customHeight="1" x14ac:dyDescent="0.25">
      <c r="C35" s="22" t="s">
        <v>27</v>
      </c>
      <c r="D35" s="26">
        <f>$D$2</f>
        <v>100000</v>
      </c>
      <c r="E35" s="26">
        <f t="shared" ref="E35:X35" si="4">$D$35</f>
        <v>100000</v>
      </c>
      <c r="F35" s="26">
        <f t="shared" si="4"/>
        <v>100000</v>
      </c>
      <c r="G35" s="26">
        <f t="shared" si="4"/>
        <v>100000</v>
      </c>
      <c r="H35" s="26">
        <f t="shared" si="4"/>
        <v>100000</v>
      </c>
      <c r="I35" s="26">
        <f t="shared" si="4"/>
        <v>100000</v>
      </c>
      <c r="J35" s="26">
        <f t="shared" si="4"/>
        <v>100000</v>
      </c>
      <c r="K35" s="26">
        <f t="shared" si="4"/>
        <v>100000</v>
      </c>
      <c r="L35" s="26">
        <f t="shared" si="4"/>
        <v>100000</v>
      </c>
      <c r="M35" s="26">
        <f t="shared" si="4"/>
        <v>100000</v>
      </c>
      <c r="N35" s="26">
        <f t="shared" si="4"/>
        <v>100000</v>
      </c>
      <c r="O35" s="26">
        <f t="shared" si="4"/>
        <v>100000</v>
      </c>
      <c r="P35" s="26">
        <f t="shared" si="4"/>
        <v>100000</v>
      </c>
      <c r="Q35" s="26">
        <f t="shared" si="4"/>
        <v>100000</v>
      </c>
      <c r="R35" s="26">
        <f t="shared" si="4"/>
        <v>100000</v>
      </c>
      <c r="S35" s="26">
        <f t="shared" si="4"/>
        <v>100000</v>
      </c>
      <c r="T35" s="26">
        <f t="shared" si="4"/>
        <v>100000</v>
      </c>
      <c r="U35" s="26">
        <f t="shared" si="4"/>
        <v>100000</v>
      </c>
      <c r="V35" s="26">
        <f t="shared" si="4"/>
        <v>100000</v>
      </c>
      <c r="W35" s="26">
        <f t="shared" si="4"/>
        <v>100000</v>
      </c>
      <c r="X35" s="26">
        <f t="shared" si="4"/>
        <v>100000</v>
      </c>
    </row>
    <row r="36" spans="1:26" ht="15.75" customHeight="1" x14ac:dyDescent="0.25">
      <c r="C36" s="22" t="s">
        <v>10</v>
      </c>
      <c r="D36" s="23">
        <f t="shared" ref="D36:X36" si="5">PMT(D30/12,D34,-D32)</f>
        <v>898.66666666666686</v>
      </c>
      <c r="E36" s="23">
        <f t="shared" si="5"/>
        <v>927.13609307764204</v>
      </c>
      <c r="F36" s="23">
        <f t="shared" si="5"/>
        <v>956.19013331426254</v>
      </c>
      <c r="G36" s="23">
        <f t="shared" si="5"/>
        <v>985.82792091417741</v>
      </c>
      <c r="H36" s="23">
        <f t="shared" si="5"/>
        <v>1016.0481366055843</v>
      </c>
      <c r="I36" s="23">
        <f t="shared" si="5"/>
        <v>1046.8490121700584</v>
      </c>
      <c r="J36" s="23">
        <f t="shared" si="5"/>
        <v>1078.2283355331974</v>
      </c>
      <c r="K36" s="23">
        <f t="shared" si="5"/>
        <v>1110.1834570548504</v>
      </c>
      <c r="L36" s="23">
        <f t="shared" si="5"/>
        <v>1142.711296984422</v>
      </c>
      <c r="M36" s="23">
        <f t="shared" si="5"/>
        <v>1175.8083540407697</v>
      </c>
      <c r="N36" s="23">
        <f t="shared" si="5"/>
        <v>1209.4707150705681</v>
      </c>
      <c r="O36" s="23">
        <f t="shared" si="5"/>
        <v>1243.6940657338077</v>
      </c>
      <c r="P36" s="23">
        <f t="shared" si="5"/>
        <v>1278.4737021602868</v>
      </c>
      <c r="Q36" s="23">
        <f t="shared" si="5"/>
        <v>1313.8045435166357</v>
      </c>
      <c r="R36" s="23">
        <f t="shared" si="5"/>
        <v>1349.6811454195931</v>
      </c>
      <c r="S36" s="23">
        <f t="shared" si="5"/>
        <v>1386.0977141279502</v>
      </c>
      <c r="T36" s="23">
        <f t="shared" si="5"/>
        <v>1423.048121442808</v>
      </c>
      <c r="U36" s="23">
        <f t="shared" si="5"/>
        <v>1460.5259202435805</v>
      </c>
      <c r="V36" s="23">
        <f t="shared" si="5"/>
        <v>1498.5243605855226</v>
      </c>
      <c r="W36" s="23">
        <f t="shared" si="5"/>
        <v>1537.0364062834162</v>
      </c>
      <c r="X36" s="23">
        <f t="shared" si="5"/>
        <v>1576.0547519055119</v>
      </c>
    </row>
    <row r="37" spans="1:26" ht="15.75" customHeight="1" x14ac:dyDescent="0.25">
      <c r="C37" s="22" t="s">
        <v>28</v>
      </c>
      <c r="D37" s="23">
        <f t="shared" ref="D37:X37" si="6">D36*D34</f>
        <v>269600.00000000006</v>
      </c>
      <c r="E37" s="23">
        <f t="shared" si="6"/>
        <v>278140.82792329259</v>
      </c>
      <c r="F37" s="23">
        <f t="shared" si="6"/>
        <v>286857.03999427875</v>
      </c>
      <c r="G37" s="23">
        <f t="shared" si="6"/>
        <v>295748.37627425324</v>
      </c>
      <c r="H37" s="23">
        <f t="shared" si="6"/>
        <v>304814.44098167529</v>
      </c>
      <c r="I37" s="23">
        <f t="shared" si="6"/>
        <v>314054.70365101751</v>
      </c>
      <c r="J37" s="23">
        <f t="shared" si="6"/>
        <v>323468.50065995922</v>
      </c>
      <c r="K37" s="23">
        <f t="shared" si="6"/>
        <v>333055.03711645509</v>
      </c>
      <c r="L37" s="23">
        <f t="shared" si="6"/>
        <v>342813.38909532659</v>
      </c>
      <c r="M37" s="23">
        <f t="shared" si="6"/>
        <v>352742.50621223089</v>
      </c>
      <c r="N37" s="23">
        <f t="shared" si="6"/>
        <v>362841.21452117042</v>
      </c>
      <c r="O37" s="23">
        <f t="shared" si="6"/>
        <v>373108.21972014231</v>
      </c>
      <c r="P37" s="23">
        <f t="shared" si="6"/>
        <v>383542.11064808606</v>
      </c>
      <c r="Q37" s="23">
        <f t="shared" si="6"/>
        <v>394141.36305499071</v>
      </c>
      <c r="R37" s="23">
        <f t="shared" si="6"/>
        <v>404904.34362587793</v>
      </c>
      <c r="S37" s="23">
        <f t="shared" si="6"/>
        <v>415829.31423838506</v>
      </c>
      <c r="T37" s="23">
        <f t="shared" si="6"/>
        <v>426914.4364328424</v>
      </c>
      <c r="U37" s="23">
        <f t="shared" si="6"/>
        <v>438157.77607307414</v>
      </c>
      <c r="V37" s="23">
        <f t="shared" si="6"/>
        <v>449557.30817565677</v>
      </c>
      <c r="W37" s="23">
        <f t="shared" si="6"/>
        <v>461110.92188502487</v>
      </c>
      <c r="X37" s="23">
        <f t="shared" si="6"/>
        <v>472816.42557165358</v>
      </c>
    </row>
    <row r="38" spans="1:26" ht="15.75" customHeight="1" x14ac:dyDescent="0.25">
      <c r="C38" s="22" t="s">
        <v>29</v>
      </c>
      <c r="D38" s="27">
        <f>$D$11</f>
        <v>0.04</v>
      </c>
      <c r="E38" s="27">
        <f t="shared" ref="E38:X38" si="7">$D$38</f>
        <v>0.04</v>
      </c>
      <c r="F38" s="27">
        <f t="shared" si="7"/>
        <v>0.04</v>
      </c>
      <c r="G38" s="27">
        <f t="shared" si="7"/>
        <v>0.04</v>
      </c>
      <c r="H38" s="27">
        <f t="shared" si="7"/>
        <v>0.04</v>
      </c>
      <c r="I38" s="27">
        <f t="shared" si="7"/>
        <v>0.04</v>
      </c>
      <c r="J38" s="27">
        <f t="shared" si="7"/>
        <v>0.04</v>
      </c>
      <c r="K38" s="27">
        <f t="shared" si="7"/>
        <v>0.04</v>
      </c>
      <c r="L38" s="27">
        <f t="shared" si="7"/>
        <v>0.04</v>
      </c>
      <c r="M38" s="27">
        <f t="shared" si="7"/>
        <v>0.04</v>
      </c>
      <c r="N38" s="27">
        <f t="shared" si="7"/>
        <v>0.04</v>
      </c>
      <c r="O38" s="27">
        <f t="shared" si="7"/>
        <v>0.04</v>
      </c>
      <c r="P38" s="27">
        <f t="shared" si="7"/>
        <v>0.04</v>
      </c>
      <c r="Q38" s="27">
        <f t="shared" si="7"/>
        <v>0.04</v>
      </c>
      <c r="R38" s="27">
        <f t="shared" si="7"/>
        <v>0.04</v>
      </c>
      <c r="S38" s="27">
        <f t="shared" si="7"/>
        <v>0.04</v>
      </c>
      <c r="T38" s="27">
        <f t="shared" si="7"/>
        <v>0.04</v>
      </c>
      <c r="U38" s="27">
        <f t="shared" si="7"/>
        <v>0.04</v>
      </c>
      <c r="V38" s="27">
        <f t="shared" si="7"/>
        <v>0.04</v>
      </c>
      <c r="W38" s="27">
        <f t="shared" si="7"/>
        <v>0.04</v>
      </c>
      <c r="X38" s="27">
        <f t="shared" si="7"/>
        <v>0.04</v>
      </c>
    </row>
    <row r="39" spans="1:26" ht="15.75" customHeight="1" x14ac:dyDescent="0.25">
      <c r="C39" s="22" t="s">
        <v>30</v>
      </c>
      <c r="D39" s="23">
        <f t="shared" ref="D39:X39" si="8">D31*(1+D38)^D33</f>
        <v>879725.98939084972</v>
      </c>
      <c r="E39" s="23">
        <f t="shared" si="8"/>
        <v>879725.98939084972</v>
      </c>
      <c r="F39" s="23">
        <f t="shared" si="8"/>
        <v>879725.98939084972</v>
      </c>
      <c r="G39" s="23">
        <f t="shared" si="8"/>
        <v>879725.98939084972</v>
      </c>
      <c r="H39" s="23">
        <f t="shared" si="8"/>
        <v>879725.98939084972</v>
      </c>
      <c r="I39" s="23">
        <f t="shared" si="8"/>
        <v>879725.98939084972</v>
      </c>
      <c r="J39" s="23">
        <f t="shared" si="8"/>
        <v>879725.98939084972</v>
      </c>
      <c r="K39" s="23">
        <f t="shared" si="8"/>
        <v>879725.98939084972</v>
      </c>
      <c r="L39" s="23">
        <f t="shared" si="8"/>
        <v>879725.98939084972</v>
      </c>
      <c r="M39" s="23">
        <f t="shared" si="8"/>
        <v>879725.98939084972</v>
      </c>
      <c r="N39" s="23">
        <f t="shared" si="8"/>
        <v>879725.98939084972</v>
      </c>
      <c r="O39" s="23">
        <f t="shared" si="8"/>
        <v>879725.98939084972</v>
      </c>
      <c r="P39" s="23">
        <f t="shared" si="8"/>
        <v>879725.98939084972</v>
      </c>
      <c r="Q39" s="23">
        <f t="shared" si="8"/>
        <v>879725.98939084972</v>
      </c>
      <c r="R39" s="23">
        <f t="shared" si="8"/>
        <v>879725.98939084972</v>
      </c>
      <c r="S39" s="23">
        <f t="shared" si="8"/>
        <v>879725.98939084972</v>
      </c>
      <c r="T39" s="23">
        <f t="shared" si="8"/>
        <v>879725.98939084972</v>
      </c>
      <c r="U39" s="23">
        <f t="shared" si="8"/>
        <v>879725.98939084972</v>
      </c>
      <c r="V39" s="23">
        <f t="shared" si="8"/>
        <v>879725.98939084972</v>
      </c>
      <c r="W39" s="23">
        <f t="shared" si="8"/>
        <v>879725.98939084972</v>
      </c>
      <c r="X39" s="23">
        <f t="shared" si="8"/>
        <v>879725.98939084972</v>
      </c>
    </row>
    <row r="40" spans="1:26" ht="15.75" customHeight="1" x14ac:dyDescent="0.25">
      <c r="C40" s="22" t="s">
        <v>31</v>
      </c>
      <c r="D40" s="23">
        <f>$D$21</f>
        <v>2000</v>
      </c>
      <c r="E40" s="28">
        <f t="shared" ref="E40:X40" si="9">$D$40</f>
        <v>2000</v>
      </c>
      <c r="F40" s="28">
        <f t="shared" si="9"/>
        <v>2000</v>
      </c>
      <c r="G40" s="28">
        <f t="shared" si="9"/>
        <v>2000</v>
      </c>
      <c r="H40" s="28">
        <f t="shared" si="9"/>
        <v>2000</v>
      </c>
      <c r="I40" s="28">
        <f t="shared" si="9"/>
        <v>2000</v>
      </c>
      <c r="J40" s="28">
        <f t="shared" si="9"/>
        <v>2000</v>
      </c>
      <c r="K40" s="28">
        <f t="shared" si="9"/>
        <v>2000</v>
      </c>
      <c r="L40" s="28">
        <f t="shared" si="9"/>
        <v>2000</v>
      </c>
      <c r="M40" s="28">
        <f t="shared" si="9"/>
        <v>2000</v>
      </c>
      <c r="N40" s="28">
        <f t="shared" si="9"/>
        <v>2000</v>
      </c>
      <c r="O40" s="28">
        <f t="shared" si="9"/>
        <v>2000</v>
      </c>
      <c r="P40" s="28">
        <f t="shared" si="9"/>
        <v>2000</v>
      </c>
      <c r="Q40" s="28">
        <f t="shared" si="9"/>
        <v>2000</v>
      </c>
      <c r="R40" s="28">
        <f t="shared" si="9"/>
        <v>2000</v>
      </c>
      <c r="S40" s="28">
        <f t="shared" si="9"/>
        <v>2000</v>
      </c>
      <c r="T40" s="28">
        <f t="shared" si="9"/>
        <v>2000</v>
      </c>
      <c r="U40" s="28">
        <f t="shared" si="9"/>
        <v>2000</v>
      </c>
      <c r="V40" s="28">
        <f t="shared" si="9"/>
        <v>2000</v>
      </c>
      <c r="W40" s="28">
        <f t="shared" si="9"/>
        <v>2000</v>
      </c>
      <c r="X40" s="28">
        <f t="shared" si="9"/>
        <v>2000</v>
      </c>
    </row>
    <row r="41" spans="1:26" ht="15.75" customHeight="1" x14ac:dyDescent="0.25">
      <c r="C41" s="22" t="s">
        <v>20</v>
      </c>
      <c r="D41" s="27">
        <f>$D$22</f>
        <v>7.0000000000000007E-2</v>
      </c>
      <c r="E41" s="27">
        <f t="shared" ref="E41:X41" si="10">$D$41</f>
        <v>7.0000000000000007E-2</v>
      </c>
      <c r="F41" s="27">
        <f t="shared" si="10"/>
        <v>7.0000000000000007E-2</v>
      </c>
      <c r="G41" s="27">
        <f t="shared" si="10"/>
        <v>7.0000000000000007E-2</v>
      </c>
      <c r="H41" s="27">
        <f t="shared" si="10"/>
        <v>7.0000000000000007E-2</v>
      </c>
      <c r="I41" s="27">
        <f t="shared" si="10"/>
        <v>7.0000000000000007E-2</v>
      </c>
      <c r="J41" s="27">
        <f t="shared" si="10"/>
        <v>7.0000000000000007E-2</v>
      </c>
      <c r="K41" s="27">
        <f t="shared" si="10"/>
        <v>7.0000000000000007E-2</v>
      </c>
      <c r="L41" s="27">
        <f t="shared" si="10"/>
        <v>7.0000000000000007E-2</v>
      </c>
      <c r="M41" s="27">
        <f t="shared" si="10"/>
        <v>7.0000000000000007E-2</v>
      </c>
      <c r="N41" s="27">
        <f t="shared" si="10"/>
        <v>7.0000000000000007E-2</v>
      </c>
      <c r="O41" s="27">
        <f t="shared" si="10"/>
        <v>7.0000000000000007E-2</v>
      </c>
      <c r="P41" s="27">
        <f t="shared" si="10"/>
        <v>7.0000000000000007E-2</v>
      </c>
      <c r="Q41" s="27">
        <f t="shared" si="10"/>
        <v>7.0000000000000007E-2</v>
      </c>
      <c r="R41" s="27">
        <f t="shared" si="10"/>
        <v>7.0000000000000007E-2</v>
      </c>
      <c r="S41" s="27">
        <f t="shared" si="10"/>
        <v>7.0000000000000007E-2</v>
      </c>
      <c r="T41" s="27">
        <f t="shared" si="10"/>
        <v>7.0000000000000007E-2</v>
      </c>
      <c r="U41" s="27">
        <f t="shared" si="10"/>
        <v>7.0000000000000007E-2</v>
      </c>
      <c r="V41" s="27">
        <f t="shared" si="10"/>
        <v>7.0000000000000007E-2</v>
      </c>
      <c r="W41" s="27">
        <f t="shared" si="10"/>
        <v>7.0000000000000007E-2</v>
      </c>
      <c r="X41" s="27">
        <f t="shared" si="10"/>
        <v>7.0000000000000007E-2</v>
      </c>
    </row>
    <row r="42" spans="1:26" ht="15.75" customHeight="1" x14ac:dyDescent="0.25">
      <c r="C42" s="22" t="s">
        <v>32</v>
      </c>
      <c r="D42" s="23">
        <f t="shared" ref="D42:X42" si="11">D36-D40</f>
        <v>-1101.333333333333</v>
      </c>
      <c r="E42" s="23">
        <f t="shared" si="11"/>
        <v>-1072.863906922358</v>
      </c>
      <c r="F42" s="23">
        <f t="shared" si="11"/>
        <v>-1043.8098666857375</v>
      </c>
      <c r="G42" s="23">
        <f t="shared" si="11"/>
        <v>-1014.1720790858226</v>
      </c>
      <c r="H42" s="23">
        <f t="shared" si="11"/>
        <v>-983.95186339441568</v>
      </c>
      <c r="I42" s="23">
        <f t="shared" si="11"/>
        <v>-953.15098782994164</v>
      </c>
      <c r="J42" s="23">
        <f t="shared" si="11"/>
        <v>-921.77166446680258</v>
      </c>
      <c r="K42" s="23">
        <f t="shared" si="11"/>
        <v>-889.81654294514965</v>
      </c>
      <c r="L42" s="23">
        <f t="shared" si="11"/>
        <v>-857.28870301557799</v>
      </c>
      <c r="M42" s="23">
        <f t="shared" si="11"/>
        <v>-824.1916459592303</v>
      </c>
      <c r="N42" s="23">
        <f t="shared" si="11"/>
        <v>-790.52928492943192</v>
      </c>
      <c r="O42" s="23">
        <f t="shared" si="11"/>
        <v>-756.30593426619225</v>
      </c>
      <c r="P42" s="23">
        <f t="shared" si="11"/>
        <v>-721.52629783971315</v>
      </c>
      <c r="Q42" s="23">
        <f t="shared" si="11"/>
        <v>-686.1954564833643</v>
      </c>
      <c r="R42" s="23">
        <f t="shared" si="11"/>
        <v>-650.31885458040688</v>
      </c>
      <c r="S42" s="23">
        <f t="shared" si="11"/>
        <v>-613.90228587204979</v>
      </c>
      <c r="T42" s="23">
        <f t="shared" si="11"/>
        <v>-576.951878557192</v>
      </c>
      <c r="U42" s="23">
        <f t="shared" si="11"/>
        <v>-539.47407975641954</v>
      </c>
      <c r="V42" s="23">
        <f t="shared" si="11"/>
        <v>-501.47563941447743</v>
      </c>
      <c r="W42" s="23">
        <f t="shared" si="11"/>
        <v>-462.96359371658377</v>
      </c>
      <c r="X42" s="23">
        <f t="shared" si="11"/>
        <v>-423.94524809448808</v>
      </c>
    </row>
    <row r="43" spans="1:26" ht="15.75" customHeight="1" x14ac:dyDescent="0.25">
      <c r="C43" s="22" t="s">
        <v>33</v>
      </c>
      <c r="D43" s="23">
        <f t="shared" ref="D43:X43" si="12">FV(D41/12,D34,-D42,-D35)</f>
        <v>-319617.13698597031</v>
      </c>
      <c r="E43" s="23">
        <f t="shared" si="12"/>
        <v>-296554.8605338349</v>
      </c>
      <c r="F43" s="23">
        <f t="shared" si="12"/>
        <v>-273019.00497019419</v>
      </c>
      <c r="G43" s="23">
        <f t="shared" si="12"/>
        <v>-249010.27219167189</v>
      </c>
      <c r="H43" s="23">
        <f t="shared" si="12"/>
        <v>-224529.73090301035</v>
      </c>
      <c r="I43" s="23">
        <f t="shared" si="12"/>
        <v>-199578.81348790275</v>
      </c>
      <c r="J43" s="23">
        <f t="shared" si="12"/>
        <v>-174159.3118852051</v>
      </c>
      <c r="K43" s="23">
        <f t="shared" si="12"/>
        <v>-148273.37249340047</v>
      </c>
      <c r="L43" s="23">
        <f t="shared" si="12"/>
        <v>-121923.4901312677</v>
      </c>
      <c r="M43" s="23">
        <f t="shared" si="12"/>
        <v>-95112.501087549608</v>
      </c>
      <c r="N43" s="23">
        <f t="shared" si="12"/>
        <v>-67843.575296985684</v>
      </c>
      <c r="O43" s="23">
        <f t="shared" si="12"/>
        <v>-40120.207684291643</v>
      </c>
      <c r="P43" s="23">
        <f t="shared" si="12"/>
        <v>-11946.208721565548</v>
      </c>
      <c r="Q43" s="23">
        <f t="shared" si="12"/>
        <v>16674.305751902866</v>
      </c>
      <c r="R43" s="23">
        <f t="shared" si="12"/>
        <v>45736.92539534776</v>
      </c>
      <c r="S43" s="23">
        <f t="shared" si="12"/>
        <v>75236.956863018917</v>
      </c>
      <c r="T43" s="23">
        <f t="shared" si="12"/>
        <v>105169.43587445928</v>
      </c>
      <c r="U43" s="23">
        <f t="shared" si="12"/>
        <v>135529.13979978045</v>
      </c>
      <c r="V43" s="23">
        <f t="shared" si="12"/>
        <v>166310.60069981508</v>
      </c>
      <c r="W43" s="23">
        <f t="shared" si="12"/>
        <v>197508.11876009119</v>
      </c>
      <c r="X43" s="23">
        <f t="shared" si="12"/>
        <v>229115.77605714306</v>
      </c>
    </row>
    <row r="44" spans="1:26" ht="15.75" customHeight="1" x14ac:dyDescent="0.25">
      <c r="D44" s="1"/>
      <c r="F44" s="2"/>
    </row>
    <row r="45" spans="1:26" ht="27" customHeight="1" x14ac:dyDescent="0.25">
      <c r="C45" s="22" t="s">
        <v>25</v>
      </c>
      <c r="D45" s="29">
        <f>$D$9</f>
        <v>0.03</v>
      </c>
      <c r="E45" s="29">
        <f t="shared" ref="E45:X45" si="13">$D$45</f>
        <v>0.03</v>
      </c>
      <c r="F45" s="29">
        <f t="shared" si="13"/>
        <v>0.03</v>
      </c>
      <c r="G45" s="29">
        <f t="shared" si="13"/>
        <v>0.03</v>
      </c>
      <c r="H45" s="29">
        <f t="shared" si="13"/>
        <v>0.03</v>
      </c>
      <c r="I45" s="29">
        <f t="shared" si="13"/>
        <v>0.03</v>
      </c>
      <c r="J45" s="29">
        <f t="shared" si="13"/>
        <v>0.03</v>
      </c>
      <c r="K45" s="29">
        <f t="shared" si="13"/>
        <v>0.03</v>
      </c>
      <c r="L45" s="29">
        <f t="shared" si="13"/>
        <v>0.03</v>
      </c>
      <c r="M45" s="29">
        <f t="shared" si="13"/>
        <v>0.03</v>
      </c>
      <c r="N45" s="29">
        <f t="shared" si="13"/>
        <v>0.03</v>
      </c>
      <c r="O45" s="29">
        <f t="shared" si="13"/>
        <v>0.03</v>
      </c>
      <c r="P45" s="29">
        <f t="shared" si="13"/>
        <v>0.03</v>
      </c>
      <c r="Q45" s="29">
        <f t="shared" si="13"/>
        <v>0.03</v>
      </c>
      <c r="R45" s="29">
        <f t="shared" si="13"/>
        <v>0.03</v>
      </c>
      <c r="S45" s="29">
        <f t="shared" si="13"/>
        <v>0.03</v>
      </c>
      <c r="T45" s="29">
        <f t="shared" si="13"/>
        <v>0.03</v>
      </c>
      <c r="U45" s="29">
        <f t="shared" si="13"/>
        <v>0.03</v>
      </c>
      <c r="V45" s="29">
        <f t="shared" si="13"/>
        <v>0.03</v>
      </c>
      <c r="W45" s="29">
        <f t="shared" si="13"/>
        <v>0.03</v>
      </c>
      <c r="X45" s="29">
        <f t="shared" si="13"/>
        <v>0.03</v>
      </c>
    </row>
    <row r="46" spans="1:26" ht="15.75" customHeight="1" x14ac:dyDescent="0.25">
      <c r="C46" s="22" t="s">
        <v>5</v>
      </c>
      <c r="D46" s="23">
        <f>$D$7</f>
        <v>330000</v>
      </c>
      <c r="E46" s="23">
        <f t="shared" ref="E46:X46" si="14">$D$31</f>
        <v>330000</v>
      </c>
      <c r="F46" s="23">
        <f t="shared" si="14"/>
        <v>330000</v>
      </c>
      <c r="G46" s="23">
        <f t="shared" si="14"/>
        <v>330000</v>
      </c>
      <c r="H46" s="23">
        <f t="shared" si="14"/>
        <v>330000</v>
      </c>
      <c r="I46" s="23">
        <f t="shared" si="14"/>
        <v>330000</v>
      </c>
      <c r="J46" s="23">
        <f t="shared" si="14"/>
        <v>330000</v>
      </c>
      <c r="K46" s="23">
        <f t="shared" si="14"/>
        <v>330000</v>
      </c>
      <c r="L46" s="23">
        <f t="shared" si="14"/>
        <v>330000</v>
      </c>
      <c r="M46" s="23">
        <f t="shared" si="14"/>
        <v>330000</v>
      </c>
      <c r="N46" s="23">
        <f t="shared" si="14"/>
        <v>330000</v>
      </c>
      <c r="O46" s="23">
        <f t="shared" si="14"/>
        <v>330000</v>
      </c>
      <c r="P46" s="23">
        <f t="shared" si="14"/>
        <v>330000</v>
      </c>
      <c r="Q46" s="23">
        <f t="shared" si="14"/>
        <v>330000</v>
      </c>
      <c r="R46" s="23">
        <f t="shared" si="14"/>
        <v>330000</v>
      </c>
      <c r="S46" s="23">
        <f t="shared" si="14"/>
        <v>330000</v>
      </c>
      <c r="T46" s="23">
        <f t="shared" si="14"/>
        <v>330000</v>
      </c>
      <c r="U46" s="23">
        <f t="shared" si="14"/>
        <v>330000</v>
      </c>
      <c r="V46" s="23">
        <f t="shared" si="14"/>
        <v>330000</v>
      </c>
      <c r="W46" s="23">
        <f t="shared" si="14"/>
        <v>330000</v>
      </c>
      <c r="X46" s="23">
        <f t="shared" si="14"/>
        <v>330000</v>
      </c>
    </row>
    <row r="47" spans="1:26" ht="15.75" customHeight="1" x14ac:dyDescent="0.25">
      <c r="C47" s="22" t="s">
        <v>13</v>
      </c>
      <c r="D47" s="23">
        <f>$D$15</f>
        <v>269600.00000000006</v>
      </c>
      <c r="E47" s="23">
        <f t="shared" ref="E47:X47" si="15">$D$32</f>
        <v>269600.00000000006</v>
      </c>
      <c r="F47" s="23">
        <f t="shared" si="15"/>
        <v>269600.00000000006</v>
      </c>
      <c r="G47" s="23">
        <f t="shared" si="15"/>
        <v>269600.00000000006</v>
      </c>
      <c r="H47" s="23">
        <f t="shared" si="15"/>
        <v>269600.00000000006</v>
      </c>
      <c r="I47" s="23">
        <f t="shared" si="15"/>
        <v>269600.00000000006</v>
      </c>
      <c r="J47" s="23">
        <f t="shared" si="15"/>
        <v>269600.00000000006</v>
      </c>
      <c r="K47" s="23">
        <f t="shared" si="15"/>
        <v>269600.00000000006</v>
      </c>
      <c r="L47" s="23">
        <f t="shared" si="15"/>
        <v>269600.00000000006</v>
      </c>
      <c r="M47" s="23">
        <f t="shared" si="15"/>
        <v>269600.00000000006</v>
      </c>
      <c r="N47" s="23">
        <f t="shared" si="15"/>
        <v>269600.00000000006</v>
      </c>
      <c r="O47" s="23">
        <f t="shared" si="15"/>
        <v>269600.00000000006</v>
      </c>
      <c r="P47" s="23">
        <f t="shared" si="15"/>
        <v>269600.00000000006</v>
      </c>
      <c r="Q47" s="23">
        <f t="shared" si="15"/>
        <v>269600.00000000006</v>
      </c>
      <c r="R47" s="23">
        <f t="shared" si="15"/>
        <v>269600.00000000006</v>
      </c>
      <c r="S47" s="23">
        <f t="shared" si="15"/>
        <v>269600.00000000006</v>
      </c>
      <c r="T47" s="23">
        <f t="shared" si="15"/>
        <v>269600.00000000006</v>
      </c>
      <c r="U47" s="23">
        <f t="shared" si="15"/>
        <v>269600.00000000006</v>
      </c>
      <c r="V47" s="23">
        <f t="shared" si="15"/>
        <v>269600.00000000006</v>
      </c>
      <c r="W47" s="23">
        <f t="shared" si="15"/>
        <v>269600.00000000006</v>
      </c>
      <c r="X47" s="23">
        <f t="shared" si="15"/>
        <v>269600.00000000006</v>
      </c>
    </row>
    <row r="48" spans="1:26" ht="15.75" customHeight="1" x14ac:dyDescent="0.25">
      <c r="C48" s="22" t="s">
        <v>26</v>
      </c>
      <c r="D48" s="24">
        <f>$D$4</f>
        <v>25</v>
      </c>
      <c r="E48" s="24">
        <f t="shared" ref="E48:X48" si="16">$D$33</f>
        <v>25</v>
      </c>
      <c r="F48" s="24">
        <f t="shared" si="16"/>
        <v>25</v>
      </c>
      <c r="G48" s="24">
        <f t="shared" si="16"/>
        <v>25</v>
      </c>
      <c r="H48" s="24">
        <f t="shared" si="16"/>
        <v>25</v>
      </c>
      <c r="I48" s="24">
        <f t="shared" si="16"/>
        <v>25</v>
      </c>
      <c r="J48" s="24">
        <f t="shared" si="16"/>
        <v>25</v>
      </c>
      <c r="K48" s="24">
        <f t="shared" si="16"/>
        <v>25</v>
      </c>
      <c r="L48" s="24">
        <f t="shared" si="16"/>
        <v>25</v>
      </c>
      <c r="M48" s="24">
        <f t="shared" si="16"/>
        <v>25</v>
      </c>
      <c r="N48" s="24">
        <f t="shared" si="16"/>
        <v>25</v>
      </c>
      <c r="O48" s="24">
        <f t="shared" si="16"/>
        <v>25</v>
      </c>
      <c r="P48" s="24">
        <f t="shared" si="16"/>
        <v>25</v>
      </c>
      <c r="Q48" s="24">
        <f t="shared" si="16"/>
        <v>25</v>
      </c>
      <c r="R48" s="24">
        <f t="shared" si="16"/>
        <v>25</v>
      </c>
      <c r="S48" s="24">
        <f t="shared" si="16"/>
        <v>25</v>
      </c>
      <c r="T48" s="24">
        <f t="shared" si="16"/>
        <v>25</v>
      </c>
      <c r="U48" s="24">
        <f t="shared" si="16"/>
        <v>25</v>
      </c>
      <c r="V48" s="24">
        <f t="shared" si="16"/>
        <v>25</v>
      </c>
      <c r="W48" s="24">
        <f t="shared" si="16"/>
        <v>25</v>
      </c>
      <c r="X48" s="24">
        <f t="shared" si="16"/>
        <v>25</v>
      </c>
    </row>
    <row r="49" spans="1:26" ht="15.75" customHeight="1" x14ac:dyDescent="0.25">
      <c r="A49" s="25"/>
      <c r="B49" s="25"/>
      <c r="C49" s="22" t="s">
        <v>3</v>
      </c>
      <c r="D49" s="24">
        <f>$D$5</f>
        <v>300</v>
      </c>
      <c r="E49" s="24">
        <f t="shared" ref="E49:X49" si="17">$D$34</f>
        <v>300</v>
      </c>
      <c r="F49" s="24">
        <f t="shared" si="17"/>
        <v>300</v>
      </c>
      <c r="G49" s="24">
        <f t="shared" si="17"/>
        <v>300</v>
      </c>
      <c r="H49" s="24">
        <f t="shared" si="17"/>
        <v>300</v>
      </c>
      <c r="I49" s="24">
        <f t="shared" si="17"/>
        <v>300</v>
      </c>
      <c r="J49" s="24">
        <f t="shared" si="17"/>
        <v>300</v>
      </c>
      <c r="K49" s="24">
        <f t="shared" si="17"/>
        <v>300</v>
      </c>
      <c r="L49" s="24">
        <f t="shared" si="17"/>
        <v>300</v>
      </c>
      <c r="M49" s="24">
        <f t="shared" si="17"/>
        <v>300</v>
      </c>
      <c r="N49" s="24">
        <f t="shared" si="17"/>
        <v>300</v>
      </c>
      <c r="O49" s="24">
        <f t="shared" si="17"/>
        <v>300</v>
      </c>
      <c r="P49" s="24">
        <f t="shared" si="17"/>
        <v>300</v>
      </c>
      <c r="Q49" s="24">
        <f t="shared" si="17"/>
        <v>300</v>
      </c>
      <c r="R49" s="24">
        <f t="shared" si="17"/>
        <v>300</v>
      </c>
      <c r="S49" s="24">
        <f t="shared" si="17"/>
        <v>300</v>
      </c>
      <c r="T49" s="24">
        <f t="shared" si="17"/>
        <v>300</v>
      </c>
      <c r="U49" s="24">
        <f t="shared" si="17"/>
        <v>300</v>
      </c>
      <c r="V49" s="24">
        <f t="shared" si="17"/>
        <v>300</v>
      </c>
      <c r="W49" s="24">
        <f t="shared" si="17"/>
        <v>300</v>
      </c>
      <c r="X49" s="24">
        <f t="shared" si="17"/>
        <v>300</v>
      </c>
      <c r="Y49" s="25"/>
      <c r="Z49" s="25"/>
    </row>
    <row r="50" spans="1:26" ht="15.75" customHeight="1" x14ac:dyDescent="0.25">
      <c r="C50" s="22" t="s">
        <v>27</v>
      </c>
      <c r="D50" s="26">
        <f>$D$2</f>
        <v>100000</v>
      </c>
      <c r="E50" s="26">
        <f t="shared" ref="E50:X50" si="18">$D$35</f>
        <v>100000</v>
      </c>
      <c r="F50" s="26">
        <f t="shared" si="18"/>
        <v>100000</v>
      </c>
      <c r="G50" s="26">
        <f t="shared" si="18"/>
        <v>100000</v>
      </c>
      <c r="H50" s="26">
        <f t="shared" si="18"/>
        <v>100000</v>
      </c>
      <c r="I50" s="26">
        <f t="shared" si="18"/>
        <v>100000</v>
      </c>
      <c r="J50" s="26">
        <f t="shared" si="18"/>
        <v>100000</v>
      </c>
      <c r="K50" s="26">
        <f t="shared" si="18"/>
        <v>100000</v>
      </c>
      <c r="L50" s="26">
        <f t="shared" si="18"/>
        <v>100000</v>
      </c>
      <c r="M50" s="26">
        <f t="shared" si="18"/>
        <v>100000</v>
      </c>
      <c r="N50" s="26">
        <f t="shared" si="18"/>
        <v>100000</v>
      </c>
      <c r="O50" s="26">
        <f t="shared" si="18"/>
        <v>100000</v>
      </c>
      <c r="P50" s="26">
        <f t="shared" si="18"/>
        <v>100000</v>
      </c>
      <c r="Q50" s="26">
        <f t="shared" si="18"/>
        <v>100000</v>
      </c>
      <c r="R50" s="26">
        <f t="shared" si="18"/>
        <v>100000</v>
      </c>
      <c r="S50" s="26">
        <f t="shared" si="18"/>
        <v>100000</v>
      </c>
      <c r="T50" s="26">
        <f t="shared" si="18"/>
        <v>100000</v>
      </c>
      <c r="U50" s="26">
        <f t="shared" si="18"/>
        <v>100000</v>
      </c>
      <c r="V50" s="26">
        <f t="shared" si="18"/>
        <v>100000</v>
      </c>
      <c r="W50" s="26">
        <f t="shared" si="18"/>
        <v>100000</v>
      </c>
      <c r="X50" s="26">
        <f t="shared" si="18"/>
        <v>100000</v>
      </c>
    </row>
    <row r="51" spans="1:26" ht="15.75" customHeight="1" x14ac:dyDescent="0.25">
      <c r="C51" s="22" t="s">
        <v>10</v>
      </c>
      <c r="D51" s="23">
        <f t="shared" ref="D51:X51" si="19">PMT(D45/12,D49,-D47)</f>
        <v>1278.4737021602868</v>
      </c>
      <c r="E51" s="23">
        <f t="shared" si="19"/>
        <v>1278.4737021602868</v>
      </c>
      <c r="F51" s="23">
        <f t="shared" si="19"/>
        <v>1278.4737021602868</v>
      </c>
      <c r="G51" s="23">
        <f t="shared" si="19"/>
        <v>1278.4737021602868</v>
      </c>
      <c r="H51" s="23">
        <f t="shared" si="19"/>
        <v>1278.4737021602868</v>
      </c>
      <c r="I51" s="23">
        <f t="shared" si="19"/>
        <v>1278.4737021602868</v>
      </c>
      <c r="J51" s="23">
        <f t="shared" si="19"/>
        <v>1278.4737021602868</v>
      </c>
      <c r="K51" s="23">
        <f t="shared" si="19"/>
        <v>1278.4737021602868</v>
      </c>
      <c r="L51" s="23">
        <f t="shared" si="19"/>
        <v>1278.4737021602868</v>
      </c>
      <c r="M51" s="23">
        <f t="shared" si="19"/>
        <v>1278.4737021602868</v>
      </c>
      <c r="N51" s="23">
        <f t="shared" si="19"/>
        <v>1278.4737021602868</v>
      </c>
      <c r="O51" s="23">
        <f t="shared" si="19"/>
        <v>1278.4737021602868</v>
      </c>
      <c r="P51" s="23">
        <f t="shared" si="19"/>
        <v>1278.4737021602868</v>
      </c>
      <c r="Q51" s="23">
        <f t="shared" si="19"/>
        <v>1278.4737021602868</v>
      </c>
      <c r="R51" s="23">
        <f t="shared" si="19"/>
        <v>1278.4737021602868</v>
      </c>
      <c r="S51" s="23">
        <f t="shared" si="19"/>
        <v>1278.4737021602868</v>
      </c>
      <c r="T51" s="23">
        <f t="shared" si="19"/>
        <v>1278.4737021602868</v>
      </c>
      <c r="U51" s="23">
        <f t="shared" si="19"/>
        <v>1278.4737021602868</v>
      </c>
      <c r="V51" s="23">
        <f t="shared" si="19"/>
        <v>1278.4737021602868</v>
      </c>
      <c r="W51" s="23">
        <f t="shared" si="19"/>
        <v>1278.4737021602868</v>
      </c>
      <c r="X51" s="23">
        <f t="shared" si="19"/>
        <v>1278.4737021602868</v>
      </c>
    </row>
    <row r="52" spans="1:26" ht="15.75" customHeight="1" x14ac:dyDescent="0.25">
      <c r="C52" s="22" t="s">
        <v>28</v>
      </c>
      <c r="D52" s="23">
        <f t="shared" ref="D52:X52" si="20">D51*D49</f>
        <v>383542.11064808606</v>
      </c>
      <c r="E52" s="23">
        <f t="shared" si="20"/>
        <v>383542.11064808606</v>
      </c>
      <c r="F52" s="23">
        <f t="shared" si="20"/>
        <v>383542.11064808606</v>
      </c>
      <c r="G52" s="23">
        <f t="shared" si="20"/>
        <v>383542.11064808606</v>
      </c>
      <c r="H52" s="23">
        <f t="shared" si="20"/>
        <v>383542.11064808606</v>
      </c>
      <c r="I52" s="23">
        <f t="shared" si="20"/>
        <v>383542.11064808606</v>
      </c>
      <c r="J52" s="23">
        <f t="shared" si="20"/>
        <v>383542.11064808606</v>
      </c>
      <c r="K52" s="23">
        <f t="shared" si="20"/>
        <v>383542.11064808606</v>
      </c>
      <c r="L52" s="23">
        <f t="shared" si="20"/>
        <v>383542.11064808606</v>
      </c>
      <c r="M52" s="23">
        <f t="shared" si="20"/>
        <v>383542.11064808606</v>
      </c>
      <c r="N52" s="23">
        <f t="shared" si="20"/>
        <v>383542.11064808606</v>
      </c>
      <c r="O52" s="23">
        <f t="shared" si="20"/>
        <v>383542.11064808606</v>
      </c>
      <c r="P52" s="23">
        <f t="shared" si="20"/>
        <v>383542.11064808606</v>
      </c>
      <c r="Q52" s="23">
        <f t="shared" si="20"/>
        <v>383542.11064808606</v>
      </c>
      <c r="R52" s="23">
        <f t="shared" si="20"/>
        <v>383542.11064808606</v>
      </c>
      <c r="S52" s="23">
        <f t="shared" si="20"/>
        <v>383542.11064808606</v>
      </c>
      <c r="T52" s="23">
        <f t="shared" si="20"/>
        <v>383542.11064808606</v>
      </c>
      <c r="U52" s="23">
        <f t="shared" si="20"/>
        <v>383542.11064808606</v>
      </c>
      <c r="V52" s="23">
        <f t="shared" si="20"/>
        <v>383542.11064808606</v>
      </c>
      <c r="W52" s="23">
        <f t="shared" si="20"/>
        <v>383542.11064808606</v>
      </c>
      <c r="X52" s="23">
        <f t="shared" si="20"/>
        <v>383542.11064808606</v>
      </c>
    </row>
    <row r="53" spans="1:26" ht="15.75" customHeight="1" x14ac:dyDescent="0.25">
      <c r="C53" s="22" t="s">
        <v>29</v>
      </c>
      <c r="D53" s="27">
        <f>$D$11</f>
        <v>0.04</v>
      </c>
      <c r="E53" s="27">
        <f t="shared" ref="E53:X53" si="21">$D$38</f>
        <v>0.04</v>
      </c>
      <c r="F53" s="27">
        <f t="shared" si="21"/>
        <v>0.04</v>
      </c>
      <c r="G53" s="27">
        <f t="shared" si="21"/>
        <v>0.04</v>
      </c>
      <c r="H53" s="27">
        <f t="shared" si="21"/>
        <v>0.04</v>
      </c>
      <c r="I53" s="27">
        <f t="shared" si="21"/>
        <v>0.04</v>
      </c>
      <c r="J53" s="27">
        <f t="shared" si="21"/>
        <v>0.04</v>
      </c>
      <c r="K53" s="27">
        <f t="shared" si="21"/>
        <v>0.04</v>
      </c>
      <c r="L53" s="27">
        <f t="shared" si="21"/>
        <v>0.04</v>
      </c>
      <c r="M53" s="27">
        <f t="shared" si="21"/>
        <v>0.04</v>
      </c>
      <c r="N53" s="27">
        <f t="shared" si="21"/>
        <v>0.04</v>
      </c>
      <c r="O53" s="27">
        <f t="shared" si="21"/>
        <v>0.04</v>
      </c>
      <c r="P53" s="27">
        <f t="shared" si="21"/>
        <v>0.04</v>
      </c>
      <c r="Q53" s="27">
        <f t="shared" si="21"/>
        <v>0.04</v>
      </c>
      <c r="R53" s="27">
        <f t="shared" si="21"/>
        <v>0.04</v>
      </c>
      <c r="S53" s="27">
        <f t="shared" si="21"/>
        <v>0.04</v>
      </c>
      <c r="T53" s="27">
        <f t="shared" si="21"/>
        <v>0.04</v>
      </c>
      <c r="U53" s="27">
        <f t="shared" si="21"/>
        <v>0.04</v>
      </c>
      <c r="V53" s="27">
        <f t="shared" si="21"/>
        <v>0.04</v>
      </c>
      <c r="W53" s="27">
        <f t="shared" si="21"/>
        <v>0.04</v>
      </c>
      <c r="X53" s="27">
        <f t="shared" si="21"/>
        <v>0.04</v>
      </c>
    </row>
    <row r="54" spans="1:26" ht="15.75" customHeight="1" x14ac:dyDescent="0.25">
      <c r="C54" s="22" t="s">
        <v>30</v>
      </c>
      <c r="D54" s="23">
        <f t="shared" ref="D54:X54" si="22">D46*(1+D53)^D48</f>
        <v>879725.98939084972</v>
      </c>
      <c r="E54" s="23">
        <f t="shared" si="22"/>
        <v>879725.98939084972</v>
      </c>
      <c r="F54" s="23">
        <f t="shared" si="22"/>
        <v>879725.98939084972</v>
      </c>
      <c r="G54" s="23">
        <f t="shared" si="22"/>
        <v>879725.98939084972</v>
      </c>
      <c r="H54" s="23">
        <f t="shared" si="22"/>
        <v>879725.98939084972</v>
      </c>
      <c r="I54" s="23">
        <f t="shared" si="22"/>
        <v>879725.98939084972</v>
      </c>
      <c r="J54" s="23">
        <f t="shared" si="22"/>
        <v>879725.98939084972</v>
      </c>
      <c r="K54" s="23">
        <f t="shared" si="22"/>
        <v>879725.98939084972</v>
      </c>
      <c r="L54" s="23">
        <f t="shared" si="22"/>
        <v>879725.98939084972</v>
      </c>
      <c r="M54" s="23">
        <f t="shared" si="22"/>
        <v>879725.98939084972</v>
      </c>
      <c r="N54" s="23">
        <f t="shared" si="22"/>
        <v>879725.98939084972</v>
      </c>
      <c r="O54" s="23">
        <f t="shared" si="22"/>
        <v>879725.98939084972</v>
      </c>
      <c r="P54" s="23">
        <f t="shared" si="22"/>
        <v>879725.98939084972</v>
      </c>
      <c r="Q54" s="23">
        <f t="shared" si="22"/>
        <v>879725.98939084972</v>
      </c>
      <c r="R54" s="23">
        <f t="shared" si="22"/>
        <v>879725.98939084972</v>
      </c>
      <c r="S54" s="23">
        <f t="shared" si="22"/>
        <v>879725.98939084972</v>
      </c>
      <c r="T54" s="23">
        <f t="shared" si="22"/>
        <v>879725.98939084972</v>
      </c>
      <c r="U54" s="23">
        <f t="shared" si="22"/>
        <v>879725.98939084972</v>
      </c>
      <c r="V54" s="23">
        <f t="shared" si="22"/>
        <v>879725.98939084972</v>
      </c>
      <c r="W54" s="23">
        <f t="shared" si="22"/>
        <v>879725.98939084972</v>
      </c>
      <c r="X54" s="23">
        <f t="shared" si="22"/>
        <v>879725.98939084972</v>
      </c>
    </row>
    <row r="55" spans="1:26" ht="15.75" customHeight="1" x14ac:dyDescent="0.25">
      <c r="C55" s="22" t="s">
        <v>31</v>
      </c>
      <c r="D55" s="23">
        <f>$D$21</f>
        <v>2000</v>
      </c>
      <c r="E55" s="28">
        <f t="shared" ref="E55:X55" si="23">$D$40</f>
        <v>2000</v>
      </c>
      <c r="F55" s="28">
        <f t="shared" si="23"/>
        <v>2000</v>
      </c>
      <c r="G55" s="28">
        <f t="shared" si="23"/>
        <v>2000</v>
      </c>
      <c r="H55" s="28">
        <f t="shared" si="23"/>
        <v>2000</v>
      </c>
      <c r="I55" s="28">
        <f t="shared" si="23"/>
        <v>2000</v>
      </c>
      <c r="J55" s="28">
        <f t="shared" si="23"/>
        <v>2000</v>
      </c>
      <c r="K55" s="28">
        <f t="shared" si="23"/>
        <v>2000</v>
      </c>
      <c r="L55" s="28">
        <f t="shared" si="23"/>
        <v>2000</v>
      </c>
      <c r="M55" s="28">
        <f t="shared" si="23"/>
        <v>2000</v>
      </c>
      <c r="N55" s="28">
        <f t="shared" si="23"/>
        <v>2000</v>
      </c>
      <c r="O55" s="28">
        <f t="shared" si="23"/>
        <v>2000</v>
      </c>
      <c r="P55" s="28">
        <f t="shared" si="23"/>
        <v>2000</v>
      </c>
      <c r="Q55" s="28">
        <f t="shared" si="23"/>
        <v>2000</v>
      </c>
      <c r="R55" s="28">
        <f t="shared" si="23"/>
        <v>2000</v>
      </c>
      <c r="S55" s="28">
        <f t="shared" si="23"/>
        <v>2000</v>
      </c>
      <c r="T55" s="28">
        <f t="shared" si="23"/>
        <v>2000</v>
      </c>
      <c r="U55" s="28">
        <f t="shared" si="23"/>
        <v>2000</v>
      </c>
      <c r="V55" s="28">
        <f t="shared" si="23"/>
        <v>2000</v>
      </c>
      <c r="W55" s="28">
        <f t="shared" si="23"/>
        <v>2000</v>
      </c>
      <c r="X55" s="28">
        <f t="shared" si="23"/>
        <v>2000</v>
      </c>
    </row>
    <row r="56" spans="1:26" ht="15.75" customHeight="1" x14ac:dyDescent="0.25">
      <c r="A56" s="19"/>
      <c r="B56" s="19"/>
      <c r="C56" s="20" t="s">
        <v>20</v>
      </c>
      <c r="D56" s="30">
        <v>0</v>
      </c>
      <c r="E56" s="30">
        <v>5.0000000000000001E-3</v>
      </c>
      <c r="F56" s="30">
        <v>0.01</v>
      </c>
      <c r="G56" s="30">
        <v>1.4999999999999999E-2</v>
      </c>
      <c r="H56" s="30">
        <v>0.02</v>
      </c>
      <c r="I56" s="30">
        <v>2.5000000000000001E-2</v>
      </c>
      <c r="J56" s="30">
        <v>0.03</v>
      </c>
      <c r="K56" s="30">
        <v>3.5000000000000003E-2</v>
      </c>
      <c r="L56" s="30">
        <v>0.04</v>
      </c>
      <c r="M56" s="30">
        <v>4.4999999999999998E-2</v>
      </c>
      <c r="N56" s="30">
        <v>0.05</v>
      </c>
      <c r="O56" s="30">
        <v>5.5E-2</v>
      </c>
      <c r="P56" s="30">
        <v>0.06</v>
      </c>
      <c r="Q56" s="30">
        <v>6.5000000000000002E-2</v>
      </c>
      <c r="R56" s="30">
        <v>7.0000000000000007E-2</v>
      </c>
      <c r="S56" s="30">
        <v>7.4999999999999997E-2</v>
      </c>
      <c r="T56" s="30">
        <v>0.08</v>
      </c>
      <c r="U56" s="30">
        <v>8.5000000000000006E-2</v>
      </c>
      <c r="V56" s="30">
        <v>0.09</v>
      </c>
      <c r="W56" s="30">
        <v>9.5000000000000001E-2</v>
      </c>
      <c r="X56" s="30">
        <v>0.1</v>
      </c>
      <c r="Y56" s="19"/>
      <c r="Z56" s="19"/>
    </row>
    <row r="57" spans="1:26" ht="15.75" customHeight="1" x14ac:dyDescent="0.25">
      <c r="C57" s="22" t="s">
        <v>32</v>
      </c>
      <c r="D57" s="23">
        <f t="shared" ref="D57:X57" si="24">D51-D55</f>
        <v>-721.52629783971315</v>
      </c>
      <c r="E57" s="23">
        <f t="shared" si="24"/>
        <v>-721.52629783971315</v>
      </c>
      <c r="F57" s="23">
        <f t="shared" si="24"/>
        <v>-721.52629783971315</v>
      </c>
      <c r="G57" s="23">
        <f t="shared" si="24"/>
        <v>-721.52629783971315</v>
      </c>
      <c r="H57" s="23">
        <f t="shared" si="24"/>
        <v>-721.52629783971315</v>
      </c>
      <c r="I57" s="23">
        <f t="shared" si="24"/>
        <v>-721.52629783971315</v>
      </c>
      <c r="J57" s="23">
        <f t="shared" si="24"/>
        <v>-721.52629783971315</v>
      </c>
      <c r="K57" s="23">
        <f t="shared" si="24"/>
        <v>-721.52629783971315</v>
      </c>
      <c r="L57" s="23">
        <f t="shared" si="24"/>
        <v>-721.52629783971315</v>
      </c>
      <c r="M57" s="23">
        <f t="shared" si="24"/>
        <v>-721.52629783971315</v>
      </c>
      <c r="N57" s="23">
        <f t="shared" si="24"/>
        <v>-721.52629783971315</v>
      </c>
      <c r="O57" s="23">
        <f t="shared" si="24"/>
        <v>-721.52629783971315</v>
      </c>
      <c r="P57" s="23">
        <f t="shared" si="24"/>
        <v>-721.52629783971315</v>
      </c>
      <c r="Q57" s="23">
        <f t="shared" si="24"/>
        <v>-721.52629783971315</v>
      </c>
      <c r="R57" s="23">
        <f t="shared" si="24"/>
        <v>-721.52629783971315</v>
      </c>
      <c r="S57" s="23">
        <f t="shared" si="24"/>
        <v>-721.52629783971315</v>
      </c>
      <c r="T57" s="23">
        <f t="shared" si="24"/>
        <v>-721.52629783971315</v>
      </c>
      <c r="U57" s="23">
        <f t="shared" si="24"/>
        <v>-721.52629783971315</v>
      </c>
      <c r="V57" s="23">
        <f t="shared" si="24"/>
        <v>-721.52629783971315</v>
      </c>
      <c r="W57" s="23">
        <f t="shared" si="24"/>
        <v>-721.52629783971315</v>
      </c>
      <c r="X57" s="23">
        <f t="shared" si="24"/>
        <v>-721.52629783971315</v>
      </c>
    </row>
    <row r="58" spans="1:26" ht="15.75" customHeight="1" x14ac:dyDescent="0.25">
      <c r="C58" s="22" t="s">
        <v>33</v>
      </c>
      <c r="D58" s="23">
        <f t="shared" ref="D58:X58" si="25">FV(D56/12,D49,-D57,-D50)</f>
        <v>-116457.88935191394</v>
      </c>
      <c r="E58" s="23">
        <f t="shared" si="25"/>
        <v>-117205.28479287878</v>
      </c>
      <c r="F58" s="23">
        <f t="shared" si="25"/>
        <v>-117413.2574069165</v>
      </c>
      <c r="G58" s="23">
        <f t="shared" si="25"/>
        <v>-116968.89094491434</v>
      </c>
      <c r="H58" s="23">
        <f t="shared" si="25"/>
        <v>-115741.14610820785</v>
      </c>
      <c r="I58" s="23">
        <f t="shared" si="25"/>
        <v>-113578.20095725422</v>
      </c>
      <c r="J58" s="23">
        <f t="shared" si="25"/>
        <v>-110304.41761695436</v>
      </c>
      <c r="K58" s="23">
        <f t="shared" si="25"/>
        <v>-105716.88409523456</v>
      </c>
      <c r="L58" s="23">
        <f t="shared" si="25"/>
        <v>-99581.473138867237</v>
      </c>
      <c r="M58" s="23">
        <f t="shared" si="25"/>
        <v>-91628.352243528527</v>
      </c>
      <c r="N58" s="23">
        <f t="shared" si="25"/>
        <v>-81546.870089492179</v>
      </c>
      <c r="O58" s="23">
        <f t="shared" si="25"/>
        <v>-68979.734656086483</v>
      </c>
      <c r="P58" s="23">
        <f t="shared" si="25"/>
        <v>-53516.386922927399</v>
      </c>
      <c r="Q58" s="23">
        <f t="shared" si="25"/>
        <v>-34685.461217382399</v>
      </c>
      <c r="R58" s="23">
        <f t="shared" si="25"/>
        <v>-11946.208721565548</v>
      </c>
      <c r="S58" s="23">
        <f t="shared" si="25"/>
        <v>15321.255815758021</v>
      </c>
      <c r="T58" s="23">
        <f t="shared" si="25"/>
        <v>47827.042758557014</v>
      </c>
      <c r="U58" s="23">
        <f t="shared" si="25"/>
        <v>86384.091348675196</v>
      </c>
      <c r="V58" s="23">
        <f t="shared" si="25"/>
        <v>131922.49212855205</v>
      </c>
      <c r="W58" s="23">
        <f t="shared" si="25"/>
        <v>185505.75861191854</v>
      </c>
      <c r="X58" s="23">
        <f t="shared" si="25"/>
        <v>248349.3093632306</v>
      </c>
    </row>
    <row r="59" spans="1:26" ht="15.75" customHeight="1" x14ac:dyDescent="0.25">
      <c r="D59" s="1"/>
      <c r="F59" s="2"/>
    </row>
    <row r="60" spans="1:26" ht="15.75" customHeight="1" x14ac:dyDescent="0.25">
      <c r="D60" s="1"/>
      <c r="F60" s="2"/>
    </row>
    <row r="61" spans="1:26" ht="27" customHeight="1" x14ac:dyDescent="0.25">
      <c r="C61" s="22" t="s">
        <v>25</v>
      </c>
      <c r="D61" s="29">
        <f>$D$9</f>
        <v>0.03</v>
      </c>
      <c r="E61" s="29">
        <f t="shared" ref="E61:X61" si="26">$D$45</f>
        <v>0.03</v>
      </c>
      <c r="F61" s="29">
        <f t="shared" si="26"/>
        <v>0.03</v>
      </c>
      <c r="G61" s="29">
        <f t="shared" si="26"/>
        <v>0.03</v>
      </c>
      <c r="H61" s="29">
        <f t="shared" si="26"/>
        <v>0.03</v>
      </c>
      <c r="I61" s="29">
        <f t="shared" si="26"/>
        <v>0.03</v>
      </c>
      <c r="J61" s="29">
        <f t="shared" si="26"/>
        <v>0.03</v>
      </c>
      <c r="K61" s="29">
        <f t="shared" si="26"/>
        <v>0.03</v>
      </c>
      <c r="L61" s="29">
        <f t="shared" si="26"/>
        <v>0.03</v>
      </c>
      <c r="M61" s="29">
        <f t="shared" si="26"/>
        <v>0.03</v>
      </c>
      <c r="N61" s="29">
        <f t="shared" si="26"/>
        <v>0.03</v>
      </c>
      <c r="O61" s="29">
        <f t="shared" si="26"/>
        <v>0.03</v>
      </c>
      <c r="P61" s="29">
        <f t="shared" si="26"/>
        <v>0.03</v>
      </c>
      <c r="Q61" s="29">
        <f t="shared" si="26"/>
        <v>0.03</v>
      </c>
      <c r="R61" s="29">
        <f t="shared" si="26"/>
        <v>0.03</v>
      </c>
      <c r="S61" s="29">
        <f t="shared" si="26"/>
        <v>0.03</v>
      </c>
      <c r="T61" s="29">
        <f t="shared" si="26"/>
        <v>0.03</v>
      </c>
      <c r="U61" s="29">
        <f t="shared" si="26"/>
        <v>0.03</v>
      </c>
      <c r="V61" s="29">
        <f t="shared" si="26"/>
        <v>0.03</v>
      </c>
      <c r="W61" s="29">
        <f t="shared" si="26"/>
        <v>0.03</v>
      </c>
      <c r="X61" s="29">
        <f t="shared" si="26"/>
        <v>0.03</v>
      </c>
    </row>
    <row r="62" spans="1:26" ht="15.75" customHeight="1" x14ac:dyDescent="0.25">
      <c r="C62" s="22" t="s">
        <v>5</v>
      </c>
      <c r="D62" s="23">
        <f>$D$7</f>
        <v>330000</v>
      </c>
      <c r="E62" s="23">
        <f t="shared" ref="E62:X62" si="27">$D$31</f>
        <v>330000</v>
      </c>
      <c r="F62" s="23">
        <f t="shared" si="27"/>
        <v>330000</v>
      </c>
      <c r="G62" s="23">
        <f t="shared" si="27"/>
        <v>330000</v>
      </c>
      <c r="H62" s="23">
        <f t="shared" si="27"/>
        <v>330000</v>
      </c>
      <c r="I62" s="23">
        <f t="shared" si="27"/>
        <v>330000</v>
      </c>
      <c r="J62" s="23">
        <f t="shared" si="27"/>
        <v>330000</v>
      </c>
      <c r="K62" s="23">
        <f t="shared" si="27"/>
        <v>330000</v>
      </c>
      <c r="L62" s="23">
        <f t="shared" si="27"/>
        <v>330000</v>
      </c>
      <c r="M62" s="23">
        <f t="shared" si="27"/>
        <v>330000</v>
      </c>
      <c r="N62" s="23">
        <f t="shared" si="27"/>
        <v>330000</v>
      </c>
      <c r="O62" s="23">
        <f t="shared" si="27"/>
        <v>330000</v>
      </c>
      <c r="P62" s="23">
        <f t="shared" si="27"/>
        <v>330000</v>
      </c>
      <c r="Q62" s="23">
        <f t="shared" si="27"/>
        <v>330000</v>
      </c>
      <c r="R62" s="23">
        <f t="shared" si="27"/>
        <v>330000</v>
      </c>
      <c r="S62" s="23">
        <f t="shared" si="27"/>
        <v>330000</v>
      </c>
      <c r="T62" s="23">
        <f t="shared" si="27"/>
        <v>330000</v>
      </c>
      <c r="U62" s="23">
        <f t="shared" si="27"/>
        <v>330000</v>
      </c>
      <c r="V62" s="23">
        <f t="shared" si="27"/>
        <v>330000</v>
      </c>
      <c r="W62" s="23">
        <f t="shared" si="27"/>
        <v>330000</v>
      </c>
      <c r="X62" s="23">
        <f t="shared" si="27"/>
        <v>330000</v>
      </c>
    </row>
    <row r="63" spans="1:26" ht="15.75" customHeight="1" x14ac:dyDescent="0.25">
      <c r="C63" s="22" t="s">
        <v>13</v>
      </c>
      <c r="D63" s="23">
        <f>$D$15</f>
        <v>269600.00000000006</v>
      </c>
      <c r="E63" s="23">
        <f t="shared" ref="E63:X63" si="28">$D$32</f>
        <v>269600.00000000006</v>
      </c>
      <c r="F63" s="23">
        <f t="shared" si="28"/>
        <v>269600.00000000006</v>
      </c>
      <c r="G63" s="23">
        <f t="shared" si="28"/>
        <v>269600.00000000006</v>
      </c>
      <c r="H63" s="23">
        <f t="shared" si="28"/>
        <v>269600.00000000006</v>
      </c>
      <c r="I63" s="23">
        <f t="shared" si="28"/>
        <v>269600.00000000006</v>
      </c>
      <c r="J63" s="23">
        <f t="shared" si="28"/>
        <v>269600.00000000006</v>
      </c>
      <c r="K63" s="23">
        <f t="shared" si="28"/>
        <v>269600.00000000006</v>
      </c>
      <c r="L63" s="23">
        <f t="shared" si="28"/>
        <v>269600.00000000006</v>
      </c>
      <c r="M63" s="23">
        <f t="shared" si="28"/>
        <v>269600.00000000006</v>
      </c>
      <c r="N63" s="23">
        <f t="shared" si="28"/>
        <v>269600.00000000006</v>
      </c>
      <c r="O63" s="23">
        <f t="shared" si="28"/>
        <v>269600.00000000006</v>
      </c>
      <c r="P63" s="23">
        <f t="shared" si="28"/>
        <v>269600.00000000006</v>
      </c>
      <c r="Q63" s="23">
        <f t="shared" si="28"/>
        <v>269600.00000000006</v>
      </c>
      <c r="R63" s="23">
        <f t="shared" si="28"/>
        <v>269600.00000000006</v>
      </c>
      <c r="S63" s="23">
        <f t="shared" si="28"/>
        <v>269600.00000000006</v>
      </c>
      <c r="T63" s="23">
        <f t="shared" si="28"/>
        <v>269600.00000000006</v>
      </c>
      <c r="U63" s="23">
        <f t="shared" si="28"/>
        <v>269600.00000000006</v>
      </c>
      <c r="V63" s="23">
        <f t="shared" si="28"/>
        <v>269600.00000000006</v>
      </c>
      <c r="W63" s="23">
        <f t="shared" si="28"/>
        <v>269600.00000000006</v>
      </c>
      <c r="X63" s="23">
        <f t="shared" si="28"/>
        <v>269600.00000000006</v>
      </c>
    </row>
    <row r="64" spans="1:26" ht="15.75" customHeight="1" x14ac:dyDescent="0.25">
      <c r="C64" s="22" t="s">
        <v>26</v>
      </c>
      <c r="D64" s="24">
        <f>$D$4</f>
        <v>25</v>
      </c>
      <c r="E64" s="24">
        <f t="shared" ref="E64:X64" si="29">$D$33</f>
        <v>25</v>
      </c>
      <c r="F64" s="24">
        <f t="shared" si="29"/>
        <v>25</v>
      </c>
      <c r="G64" s="24">
        <f t="shared" si="29"/>
        <v>25</v>
      </c>
      <c r="H64" s="24">
        <f t="shared" si="29"/>
        <v>25</v>
      </c>
      <c r="I64" s="24">
        <f t="shared" si="29"/>
        <v>25</v>
      </c>
      <c r="J64" s="24">
        <f t="shared" si="29"/>
        <v>25</v>
      </c>
      <c r="K64" s="24">
        <f t="shared" si="29"/>
        <v>25</v>
      </c>
      <c r="L64" s="24">
        <f t="shared" si="29"/>
        <v>25</v>
      </c>
      <c r="M64" s="24">
        <f t="shared" si="29"/>
        <v>25</v>
      </c>
      <c r="N64" s="24">
        <f t="shared" si="29"/>
        <v>25</v>
      </c>
      <c r="O64" s="24">
        <f t="shared" si="29"/>
        <v>25</v>
      </c>
      <c r="P64" s="24">
        <f t="shared" si="29"/>
        <v>25</v>
      </c>
      <c r="Q64" s="24">
        <f t="shared" si="29"/>
        <v>25</v>
      </c>
      <c r="R64" s="24">
        <f t="shared" si="29"/>
        <v>25</v>
      </c>
      <c r="S64" s="24">
        <f t="shared" si="29"/>
        <v>25</v>
      </c>
      <c r="T64" s="24">
        <f t="shared" si="29"/>
        <v>25</v>
      </c>
      <c r="U64" s="24">
        <f t="shared" si="29"/>
        <v>25</v>
      </c>
      <c r="V64" s="24">
        <f t="shared" si="29"/>
        <v>25</v>
      </c>
      <c r="W64" s="24">
        <f t="shared" si="29"/>
        <v>25</v>
      </c>
      <c r="X64" s="24">
        <f t="shared" si="29"/>
        <v>25</v>
      </c>
    </row>
    <row r="65" spans="1:26" ht="15.75" customHeight="1" x14ac:dyDescent="0.25">
      <c r="A65" s="25"/>
      <c r="B65" s="25"/>
      <c r="C65" s="22" t="s">
        <v>3</v>
      </c>
      <c r="D65" s="24">
        <f>$D$5</f>
        <v>300</v>
      </c>
      <c r="E65" s="24">
        <f t="shared" ref="E65:X65" si="30">$D$34</f>
        <v>300</v>
      </c>
      <c r="F65" s="24">
        <f t="shared" si="30"/>
        <v>300</v>
      </c>
      <c r="G65" s="24">
        <f t="shared" si="30"/>
        <v>300</v>
      </c>
      <c r="H65" s="24">
        <f t="shared" si="30"/>
        <v>300</v>
      </c>
      <c r="I65" s="24">
        <f t="shared" si="30"/>
        <v>300</v>
      </c>
      <c r="J65" s="24">
        <f t="shared" si="30"/>
        <v>300</v>
      </c>
      <c r="K65" s="24">
        <f t="shared" si="30"/>
        <v>300</v>
      </c>
      <c r="L65" s="24">
        <f t="shared" si="30"/>
        <v>300</v>
      </c>
      <c r="M65" s="24">
        <f t="shared" si="30"/>
        <v>300</v>
      </c>
      <c r="N65" s="24">
        <f t="shared" si="30"/>
        <v>300</v>
      </c>
      <c r="O65" s="24">
        <f t="shared" si="30"/>
        <v>300</v>
      </c>
      <c r="P65" s="24">
        <f t="shared" si="30"/>
        <v>300</v>
      </c>
      <c r="Q65" s="24">
        <f t="shared" si="30"/>
        <v>300</v>
      </c>
      <c r="R65" s="24">
        <f t="shared" si="30"/>
        <v>300</v>
      </c>
      <c r="S65" s="24">
        <f t="shared" si="30"/>
        <v>300</v>
      </c>
      <c r="T65" s="24">
        <f t="shared" si="30"/>
        <v>300</v>
      </c>
      <c r="U65" s="24">
        <f t="shared" si="30"/>
        <v>300</v>
      </c>
      <c r="V65" s="24">
        <f t="shared" si="30"/>
        <v>300</v>
      </c>
      <c r="W65" s="24">
        <f t="shared" si="30"/>
        <v>300</v>
      </c>
      <c r="X65" s="24">
        <f t="shared" si="30"/>
        <v>300</v>
      </c>
      <c r="Y65" s="25"/>
      <c r="Z65" s="25"/>
    </row>
    <row r="66" spans="1:26" ht="15.75" customHeight="1" x14ac:dyDescent="0.25">
      <c r="A66" s="19"/>
      <c r="B66" s="19"/>
      <c r="C66" s="20" t="s">
        <v>27</v>
      </c>
      <c r="D66" s="31">
        <v>0</v>
      </c>
      <c r="E66" s="31">
        <f t="shared" ref="E66:X66" si="31">D66+500000/20</f>
        <v>25000</v>
      </c>
      <c r="F66" s="31">
        <f t="shared" si="31"/>
        <v>50000</v>
      </c>
      <c r="G66" s="31">
        <f t="shared" si="31"/>
        <v>75000</v>
      </c>
      <c r="H66" s="31">
        <f t="shared" si="31"/>
        <v>100000</v>
      </c>
      <c r="I66" s="31">
        <f t="shared" si="31"/>
        <v>125000</v>
      </c>
      <c r="J66" s="31">
        <f t="shared" si="31"/>
        <v>150000</v>
      </c>
      <c r="K66" s="31">
        <f t="shared" si="31"/>
        <v>175000</v>
      </c>
      <c r="L66" s="31">
        <f t="shared" si="31"/>
        <v>200000</v>
      </c>
      <c r="M66" s="31">
        <f t="shared" si="31"/>
        <v>225000</v>
      </c>
      <c r="N66" s="31">
        <f t="shared" si="31"/>
        <v>250000</v>
      </c>
      <c r="O66" s="31">
        <f t="shared" si="31"/>
        <v>275000</v>
      </c>
      <c r="P66" s="31">
        <f t="shared" si="31"/>
        <v>300000</v>
      </c>
      <c r="Q66" s="31">
        <f t="shared" si="31"/>
        <v>325000</v>
      </c>
      <c r="R66" s="31">
        <f t="shared" si="31"/>
        <v>350000</v>
      </c>
      <c r="S66" s="31">
        <f t="shared" si="31"/>
        <v>375000</v>
      </c>
      <c r="T66" s="31">
        <f t="shared" si="31"/>
        <v>400000</v>
      </c>
      <c r="U66" s="31">
        <f t="shared" si="31"/>
        <v>425000</v>
      </c>
      <c r="V66" s="31">
        <f t="shared" si="31"/>
        <v>450000</v>
      </c>
      <c r="W66" s="31">
        <f t="shared" si="31"/>
        <v>475000</v>
      </c>
      <c r="X66" s="31">
        <f t="shared" si="31"/>
        <v>500000</v>
      </c>
      <c r="Y66" s="19"/>
      <c r="Z66" s="19"/>
    </row>
    <row r="67" spans="1:26" ht="15.75" customHeight="1" x14ac:dyDescent="0.25">
      <c r="C67" s="22" t="s">
        <v>10</v>
      </c>
      <c r="D67" s="23">
        <f t="shared" ref="D67:X67" si="32">PMT(D61/12,D65,-D63)</f>
        <v>1278.4737021602868</v>
      </c>
      <c r="E67" s="23">
        <f t="shared" si="32"/>
        <v>1278.4737021602868</v>
      </c>
      <c r="F67" s="23">
        <f t="shared" si="32"/>
        <v>1278.4737021602868</v>
      </c>
      <c r="G67" s="23">
        <f t="shared" si="32"/>
        <v>1278.4737021602868</v>
      </c>
      <c r="H67" s="23">
        <f t="shared" si="32"/>
        <v>1278.4737021602868</v>
      </c>
      <c r="I67" s="23">
        <f t="shared" si="32"/>
        <v>1278.4737021602868</v>
      </c>
      <c r="J67" s="23">
        <f t="shared" si="32"/>
        <v>1278.4737021602868</v>
      </c>
      <c r="K67" s="23">
        <f t="shared" si="32"/>
        <v>1278.4737021602868</v>
      </c>
      <c r="L67" s="23">
        <f t="shared" si="32"/>
        <v>1278.4737021602868</v>
      </c>
      <c r="M67" s="23">
        <f t="shared" si="32"/>
        <v>1278.4737021602868</v>
      </c>
      <c r="N67" s="23">
        <f t="shared" si="32"/>
        <v>1278.4737021602868</v>
      </c>
      <c r="O67" s="23">
        <f t="shared" si="32"/>
        <v>1278.4737021602868</v>
      </c>
      <c r="P67" s="23">
        <f t="shared" si="32"/>
        <v>1278.4737021602868</v>
      </c>
      <c r="Q67" s="23">
        <f t="shared" si="32"/>
        <v>1278.4737021602868</v>
      </c>
      <c r="R67" s="23">
        <f t="shared" si="32"/>
        <v>1278.4737021602868</v>
      </c>
      <c r="S67" s="23">
        <f t="shared" si="32"/>
        <v>1278.4737021602868</v>
      </c>
      <c r="T67" s="23">
        <f t="shared" si="32"/>
        <v>1278.4737021602868</v>
      </c>
      <c r="U67" s="23">
        <f t="shared" si="32"/>
        <v>1278.4737021602868</v>
      </c>
      <c r="V67" s="23">
        <f t="shared" si="32"/>
        <v>1278.4737021602868</v>
      </c>
      <c r="W67" s="23">
        <f t="shared" si="32"/>
        <v>1278.4737021602868</v>
      </c>
      <c r="X67" s="23">
        <f t="shared" si="32"/>
        <v>1278.4737021602868</v>
      </c>
    </row>
    <row r="68" spans="1:26" ht="15.75" customHeight="1" x14ac:dyDescent="0.25">
      <c r="C68" s="22" t="s">
        <v>28</v>
      </c>
      <c r="D68" s="23">
        <f t="shared" ref="D68:X68" si="33">D67*D65</f>
        <v>383542.11064808606</v>
      </c>
      <c r="E68" s="23">
        <f t="shared" si="33"/>
        <v>383542.11064808606</v>
      </c>
      <c r="F68" s="23">
        <f t="shared" si="33"/>
        <v>383542.11064808606</v>
      </c>
      <c r="G68" s="23">
        <f t="shared" si="33"/>
        <v>383542.11064808606</v>
      </c>
      <c r="H68" s="23">
        <f t="shared" si="33"/>
        <v>383542.11064808606</v>
      </c>
      <c r="I68" s="23">
        <f t="shared" si="33"/>
        <v>383542.11064808606</v>
      </c>
      <c r="J68" s="23">
        <f t="shared" si="33"/>
        <v>383542.11064808606</v>
      </c>
      <c r="K68" s="23">
        <f t="shared" si="33"/>
        <v>383542.11064808606</v>
      </c>
      <c r="L68" s="23">
        <f t="shared" si="33"/>
        <v>383542.11064808606</v>
      </c>
      <c r="M68" s="23">
        <f t="shared" si="33"/>
        <v>383542.11064808606</v>
      </c>
      <c r="N68" s="23">
        <f t="shared" si="33"/>
        <v>383542.11064808606</v>
      </c>
      <c r="O68" s="23">
        <f t="shared" si="33"/>
        <v>383542.11064808606</v>
      </c>
      <c r="P68" s="23">
        <f t="shared" si="33"/>
        <v>383542.11064808606</v>
      </c>
      <c r="Q68" s="23">
        <f t="shared" si="33"/>
        <v>383542.11064808606</v>
      </c>
      <c r="R68" s="23">
        <f t="shared" si="33"/>
        <v>383542.11064808606</v>
      </c>
      <c r="S68" s="23">
        <f t="shared" si="33"/>
        <v>383542.11064808606</v>
      </c>
      <c r="T68" s="23">
        <f t="shared" si="33"/>
        <v>383542.11064808606</v>
      </c>
      <c r="U68" s="23">
        <f t="shared" si="33"/>
        <v>383542.11064808606</v>
      </c>
      <c r="V68" s="23">
        <f t="shared" si="33"/>
        <v>383542.11064808606</v>
      </c>
      <c r="W68" s="23">
        <f t="shared" si="33"/>
        <v>383542.11064808606</v>
      </c>
      <c r="X68" s="23">
        <f t="shared" si="33"/>
        <v>383542.11064808606</v>
      </c>
    </row>
    <row r="69" spans="1:26" ht="15.75" customHeight="1" x14ac:dyDescent="0.25">
      <c r="C69" s="22" t="s">
        <v>29</v>
      </c>
      <c r="D69" s="27">
        <f>$D$11</f>
        <v>0.04</v>
      </c>
      <c r="E69" s="27">
        <f t="shared" ref="E69:X69" si="34">$D$38</f>
        <v>0.04</v>
      </c>
      <c r="F69" s="27">
        <f t="shared" si="34"/>
        <v>0.04</v>
      </c>
      <c r="G69" s="27">
        <f t="shared" si="34"/>
        <v>0.04</v>
      </c>
      <c r="H69" s="27">
        <f t="shared" si="34"/>
        <v>0.04</v>
      </c>
      <c r="I69" s="27">
        <f t="shared" si="34"/>
        <v>0.04</v>
      </c>
      <c r="J69" s="27">
        <f t="shared" si="34"/>
        <v>0.04</v>
      </c>
      <c r="K69" s="27">
        <f t="shared" si="34"/>
        <v>0.04</v>
      </c>
      <c r="L69" s="27">
        <f t="shared" si="34"/>
        <v>0.04</v>
      </c>
      <c r="M69" s="27">
        <f t="shared" si="34"/>
        <v>0.04</v>
      </c>
      <c r="N69" s="27">
        <f t="shared" si="34"/>
        <v>0.04</v>
      </c>
      <c r="O69" s="27">
        <f t="shared" si="34"/>
        <v>0.04</v>
      </c>
      <c r="P69" s="27">
        <f t="shared" si="34"/>
        <v>0.04</v>
      </c>
      <c r="Q69" s="27">
        <f t="shared" si="34"/>
        <v>0.04</v>
      </c>
      <c r="R69" s="27">
        <f t="shared" si="34"/>
        <v>0.04</v>
      </c>
      <c r="S69" s="27">
        <f t="shared" si="34"/>
        <v>0.04</v>
      </c>
      <c r="T69" s="27">
        <f t="shared" si="34"/>
        <v>0.04</v>
      </c>
      <c r="U69" s="27">
        <f t="shared" si="34"/>
        <v>0.04</v>
      </c>
      <c r="V69" s="27">
        <f t="shared" si="34"/>
        <v>0.04</v>
      </c>
      <c r="W69" s="27">
        <f t="shared" si="34"/>
        <v>0.04</v>
      </c>
      <c r="X69" s="27">
        <f t="shared" si="34"/>
        <v>0.04</v>
      </c>
    </row>
    <row r="70" spans="1:26" ht="15.75" customHeight="1" x14ac:dyDescent="0.25">
      <c r="C70" s="22" t="s">
        <v>30</v>
      </c>
      <c r="D70" s="23">
        <f t="shared" ref="D70:X70" si="35">D62*(1+D69)^D64</f>
        <v>879725.98939084972</v>
      </c>
      <c r="E70" s="23">
        <f t="shared" si="35"/>
        <v>879725.98939084972</v>
      </c>
      <c r="F70" s="23">
        <f t="shared" si="35"/>
        <v>879725.98939084972</v>
      </c>
      <c r="G70" s="23">
        <f t="shared" si="35"/>
        <v>879725.98939084972</v>
      </c>
      <c r="H70" s="23">
        <f t="shared" si="35"/>
        <v>879725.98939084972</v>
      </c>
      <c r="I70" s="23">
        <f t="shared" si="35"/>
        <v>879725.98939084972</v>
      </c>
      <c r="J70" s="23">
        <f t="shared" si="35"/>
        <v>879725.98939084972</v>
      </c>
      <c r="K70" s="23">
        <f t="shared" si="35"/>
        <v>879725.98939084972</v>
      </c>
      <c r="L70" s="23">
        <f t="shared" si="35"/>
        <v>879725.98939084972</v>
      </c>
      <c r="M70" s="23">
        <f t="shared" si="35"/>
        <v>879725.98939084972</v>
      </c>
      <c r="N70" s="23">
        <f t="shared" si="35"/>
        <v>879725.98939084972</v>
      </c>
      <c r="O70" s="23">
        <f t="shared" si="35"/>
        <v>879725.98939084972</v>
      </c>
      <c r="P70" s="23">
        <f t="shared" si="35"/>
        <v>879725.98939084972</v>
      </c>
      <c r="Q70" s="23">
        <f t="shared" si="35"/>
        <v>879725.98939084972</v>
      </c>
      <c r="R70" s="23">
        <f t="shared" si="35"/>
        <v>879725.98939084972</v>
      </c>
      <c r="S70" s="23">
        <f t="shared" si="35"/>
        <v>879725.98939084972</v>
      </c>
      <c r="T70" s="23">
        <f t="shared" si="35"/>
        <v>879725.98939084972</v>
      </c>
      <c r="U70" s="23">
        <f t="shared" si="35"/>
        <v>879725.98939084972</v>
      </c>
      <c r="V70" s="23">
        <f t="shared" si="35"/>
        <v>879725.98939084972</v>
      </c>
      <c r="W70" s="23">
        <f t="shared" si="35"/>
        <v>879725.98939084972</v>
      </c>
      <c r="X70" s="23">
        <f t="shared" si="35"/>
        <v>879725.98939084972</v>
      </c>
    </row>
    <row r="71" spans="1:26" ht="15.75" customHeight="1" x14ac:dyDescent="0.25">
      <c r="C71" s="22" t="s">
        <v>31</v>
      </c>
      <c r="D71" s="23">
        <f>$D$21</f>
        <v>2000</v>
      </c>
      <c r="E71" s="28">
        <f t="shared" ref="E71:X71" si="36">$D$40</f>
        <v>2000</v>
      </c>
      <c r="F71" s="28">
        <f t="shared" si="36"/>
        <v>2000</v>
      </c>
      <c r="G71" s="28">
        <f t="shared" si="36"/>
        <v>2000</v>
      </c>
      <c r="H71" s="28">
        <f t="shared" si="36"/>
        <v>2000</v>
      </c>
      <c r="I71" s="28">
        <f t="shared" si="36"/>
        <v>2000</v>
      </c>
      <c r="J71" s="28">
        <f t="shared" si="36"/>
        <v>2000</v>
      </c>
      <c r="K71" s="28">
        <f t="shared" si="36"/>
        <v>2000</v>
      </c>
      <c r="L71" s="28">
        <f t="shared" si="36"/>
        <v>2000</v>
      </c>
      <c r="M71" s="28">
        <f t="shared" si="36"/>
        <v>2000</v>
      </c>
      <c r="N71" s="28">
        <f t="shared" si="36"/>
        <v>2000</v>
      </c>
      <c r="O71" s="28">
        <f t="shared" si="36"/>
        <v>2000</v>
      </c>
      <c r="P71" s="28">
        <f t="shared" si="36"/>
        <v>2000</v>
      </c>
      <c r="Q71" s="28">
        <f t="shared" si="36"/>
        <v>2000</v>
      </c>
      <c r="R71" s="28">
        <f t="shared" si="36"/>
        <v>2000</v>
      </c>
      <c r="S71" s="28">
        <f t="shared" si="36"/>
        <v>2000</v>
      </c>
      <c r="T71" s="28">
        <f t="shared" si="36"/>
        <v>2000</v>
      </c>
      <c r="U71" s="28">
        <f t="shared" si="36"/>
        <v>2000</v>
      </c>
      <c r="V71" s="28">
        <f t="shared" si="36"/>
        <v>2000</v>
      </c>
      <c r="W71" s="28">
        <f t="shared" si="36"/>
        <v>2000</v>
      </c>
      <c r="X71" s="28">
        <f t="shared" si="36"/>
        <v>2000</v>
      </c>
    </row>
    <row r="72" spans="1:26" ht="15.75" customHeight="1" x14ac:dyDescent="0.25">
      <c r="A72" s="19"/>
      <c r="B72" s="19"/>
      <c r="C72" s="22" t="s">
        <v>20</v>
      </c>
      <c r="D72" s="27">
        <f>$D$22</f>
        <v>7.0000000000000007E-2</v>
      </c>
      <c r="E72" s="27">
        <f t="shared" ref="E72:X72" si="37">$D$41</f>
        <v>7.0000000000000007E-2</v>
      </c>
      <c r="F72" s="27">
        <f t="shared" si="37"/>
        <v>7.0000000000000007E-2</v>
      </c>
      <c r="G72" s="27">
        <f t="shared" si="37"/>
        <v>7.0000000000000007E-2</v>
      </c>
      <c r="H72" s="27">
        <f t="shared" si="37"/>
        <v>7.0000000000000007E-2</v>
      </c>
      <c r="I72" s="27">
        <f t="shared" si="37"/>
        <v>7.0000000000000007E-2</v>
      </c>
      <c r="J72" s="27">
        <f t="shared" si="37"/>
        <v>7.0000000000000007E-2</v>
      </c>
      <c r="K72" s="27">
        <f t="shared" si="37"/>
        <v>7.0000000000000007E-2</v>
      </c>
      <c r="L72" s="27">
        <f t="shared" si="37"/>
        <v>7.0000000000000007E-2</v>
      </c>
      <c r="M72" s="27">
        <f t="shared" si="37"/>
        <v>7.0000000000000007E-2</v>
      </c>
      <c r="N72" s="27">
        <f t="shared" si="37"/>
        <v>7.0000000000000007E-2</v>
      </c>
      <c r="O72" s="27">
        <f t="shared" si="37"/>
        <v>7.0000000000000007E-2</v>
      </c>
      <c r="P72" s="27">
        <f t="shared" si="37"/>
        <v>7.0000000000000007E-2</v>
      </c>
      <c r="Q72" s="27">
        <f t="shared" si="37"/>
        <v>7.0000000000000007E-2</v>
      </c>
      <c r="R72" s="27">
        <f t="shared" si="37"/>
        <v>7.0000000000000007E-2</v>
      </c>
      <c r="S72" s="27">
        <f t="shared" si="37"/>
        <v>7.0000000000000007E-2</v>
      </c>
      <c r="T72" s="27">
        <f t="shared" si="37"/>
        <v>7.0000000000000007E-2</v>
      </c>
      <c r="U72" s="27">
        <f t="shared" si="37"/>
        <v>7.0000000000000007E-2</v>
      </c>
      <c r="V72" s="27">
        <f t="shared" si="37"/>
        <v>7.0000000000000007E-2</v>
      </c>
      <c r="W72" s="27">
        <f t="shared" si="37"/>
        <v>7.0000000000000007E-2</v>
      </c>
      <c r="X72" s="27">
        <f t="shared" si="37"/>
        <v>7.0000000000000007E-2</v>
      </c>
      <c r="Y72" s="19"/>
      <c r="Z72" s="19"/>
    </row>
    <row r="73" spans="1:26" ht="15.75" customHeight="1" x14ac:dyDescent="0.25">
      <c r="C73" s="22" t="s">
        <v>32</v>
      </c>
      <c r="D73" s="23">
        <f t="shared" ref="D73:X73" si="38">D67-D71</f>
        <v>-721.52629783971315</v>
      </c>
      <c r="E73" s="23">
        <f t="shared" si="38"/>
        <v>-721.52629783971315</v>
      </c>
      <c r="F73" s="23">
        <f t="shared" si="38"/>
        <v>-721.52629783971315</v>
      </c>
      <c r="G73" s="23">
        <f t="shared" si="38"/>
        <v>-721.52629783971315</v>
      </c>
      <c r="H73" s="23">
        <f t="shared" si="38"/>
        <v>-721.52629783971315</v>
      </c>
      <c r="I73" s="23">
        <f t="shared" si="38"/>
        <v>-721.52629783971315</v>
      </c>
      <c r="J73" s="23">
        <f t="shared" si="38"/>
        <v>-721.52629783971315</v>
      </c>
      <c r="K73" s="23">
        <f t="shared" si="38"/>
        <v>-721.52629783971315</v>
      </c>
      <c r="L73" s="23">
        <f t="shared" si="38"/>
        <v>-721.52629783971315</v>
      </c>
      <c r="M73" s="23">
        <f t="shared" si="38"/>
        <v>-721.52629783971315</v>
      </c>
      <c r="N73" s="23">
        <f t="shared" si="38"/>
        <v>-721.52629783971315</v>
      </c>
      <c r="O73" s="23">
        <f t="shared" si="38"/>
        <v>-721.52629783971315</v>
      </c>
      <c r="P73" s="23">
        <f t="shared" si="38"/>
        <v>-721.52629783971315</v>
      </c>
      <c r="Q73" s="23">
        <f t="shared" si="38"/>
        <v>-721.52629783971315</v>
      </c>
      <c r="R73" s="23">
        <f t="shared" si="38"/>
        <v>-721.52629783971315</v>
      </c>
      <c r="S73" s="23">
        <f t="shared" si="38"/>
        <v>-721.52629783971315</v>
      </c>
      <c r="T73" s="23">
        <f t="shared" si="38"/>
        <v>-721.52629783971315</v>
      </c>
      <c r="U73" s="23">
        <f t="shared" si="38"/>
        <v>-721.52629783971315</v>
      </c>
      <c r="V73" s="23">
        <f t="shared" si="38"/>
        <v>-721.52629783971315</v>
      </c>
      <c r="W73" s="23">
        <f t="shared" si="38"/>
        <v>-721.52629783971315</v>
      </c>
      <c r="X73" s="23">
        <f t="shared" si="38"/>
        <v>-721.52629783971315</v>
      </c>
    </row>
    <row r="74" spans="1:26" ht="15.75" customHeight="1" x14ac:dyDescent="0.25">
      <c r="C74" s="22" t="s">
        <v>33</v>
      </c>
      <c r="D74" s="23">
        <f t="shared" ref="D74:X74" si="39">FV(D72/12,D65,-D73,-D66)</f>
        <v>-584488.02965171263</v>
      </c>
      <c r="E74" s="23">
        <f t="shared" si="39"/>
        <v>-441352.57441917586</v>
      </c>
      <c r="F74" s="23">
        <f t="shared" si="39"/>
        <v>-298217.11918663909</v>
      </c>
      <c r="G74" s="23">
        <f t="shared" si="39"/>
        <v>-155081.66395410232</v>
      </c>
      <c r="H74" s="23">
        <f t="shared" si="39"/>
        <v>-11946.208721565548</v>
      </c>
      <c r="I74" s="23">
        <f t="shared" si="39"/>
        <v>131189.24651097122</v>
      </c>
      <c r="J74" s="23">
        <f t="shared" si="39"/>
        <v>274324.70174350799</v>
      </c>
      <c r="K74" s="23">
        <f t="shared" si="39"/>
        <v>417460.15697604476</v>
      </c>
      <c r="L74" s="23">
        <f t="shared" si="39"/>
        <v>560595.61220858153</v>
      </c>
      <c r="M74" s="23">
        <f t="shared" si="39"/>
        <v>703731.06744111818</v>
      </c>
      <c r="N74" s="23">
        <f t="shared" si="39"/>
        <v>846866.52267365507</v>
      </c>
      <c r="O74" s="23">
        <f t="shared" si="39"/>
        <v>990001.97790619172</v>
      </c>
      <c r="P74" s="23">
        <f t="shared" si="39"/>
        <v>1133137.4331387286</v>
      </c>
      <c r="Q74" s="23">
        <f t="shared" si="39"/>
        <v>1276272.8883712653</v>
      </c>
      <c r="R74" s="23">
        <f t="shared" si="39"/>
        <v>1419408.3436038021</v>
      </c>
      <c r="S74" s="23">
        <f t="shared" si="39"/>
        <v>1562543.7988363388</v>
      </c>
      <c r="T74" s="23">
        <f t="shared" si="39"/>
        <v>1705679.2540688757</v>
      </c>
      <c r="U74" s="23">
        <f t="shared" si="39"/>
        <v>1848814.7093014126</v>
      </c>
      <c r="V74" s="23">
        <f t="shared" si="39"/>
        <v>1991950.164533949</v>
      </c>
      <c r="W74" s="23">
        <f t="shared" si="39"/>
        <v>2135085.6197664859</v>
      </c>
      <c r="X74" s="23">
        <f t="shared" si="39"/>
        <v>2278221.0749990228</v>
      </c>
    </row>
    <row r="75" spans="1:26" ht="15.75" customHeight="1" x14ac:dyDescent="0.25">
      <c r="D75" s="1"/>
      <c r="F75" s="2"/>
    </row>
    <row r="76" spans="1:26" ht="15.75" customHeight="1" x14ac:dyDescent="0.25">
      <c r="D76" s="1"/>
      <c r="F76" s="2"/>
    </row>
    <row r="77" spans="1:26" ht="15.75" customHeight="1" x14ac:dyDescent="0.25">
      <c r="D77" s="1"/>
      <c r="F77" s="2"/>
    </row>
    <row r="78" spans="1:26" ht="15.75" customHeight="1" x14ac:dyDescent="0.25">
      <c r="D78" s="1"/>
      <c r="F78" s="2"/>
    </row>
    <row r="79" spans="1:26" ht="15.75" customHeight="1" x14ac:dyDescent="0.25">
      <c r="D79" s="1"/>
      <c r="F79" s="2"/>
    </row>
    <row r="80" spans="1:26" ht="15.75" customHeight="1" x14ac:dyDescent="0.25">
      <c r="D80" s="1"/>
      <c r="F80" s="2"/>
    </row>
    <row r="81" spans="4:6" ht="15.75" customHeight="1" x14ac:dyDescent="0.25">
      <c r="D81" s="1"/>
      <c r="F81" s="2"/>
    </row>
    <row r="82" spans="4:6" ht="15.75" customHeight="1" x14ac:dyDescent="0.25">
      <c r="D82" s="1"/>
      <c r="F82" s="2"/>
    </row>
    <row r="83" spans="4:6" ht="15.75" customHeight="1" x14ac:dyDescent="0.25">
      <c r="D83" s="1"/>
      <c r="F83" s="2"/>
    </row>
    <row r="84" spans="4:6" ht="15.75" customHeight="1" x14ac:dyDescent="0.25">
      <c r="D84" s="1"/>
      <c r="F84" s="2"/>
    </row>
    <row r="85" spans="4:6" ht="15.75" customHeight="1" x14ac:dyDescent="0.25">
      <c r="D85" s="1"/>
      <c r="F85" s="2"/>
    </row>
    <row r="86" spans="4:6" ht="15.75" customHeight="1" x14ac:dyDescent="0.25">
      <c r="D86" s="1"/>
      <c r="F86" s="2"/>
    </row>
    <row r="87" spans="4:6" ht="15.75" customHeight="1" x14ac:dyDescent="0.25">
      <c r="D87" s="1"/>
      <c r="F87" s="2"/>
    </row>
    <row r="88" spans="4:6" ht="15.75" customHeight="1" x14ac:dyDescent="0.25">
      <c r="D88" s="1"/>
      <c r="F88" s="2"/>
    </row>
    <row r="89" spans="4:6" ht="15.75" customHeight="1" x14ac:dyDescent="0.25">
      <c r="D89" s="1"/>
      <c r="F89" s="2"/>
    </row>
    <row r="90" spans="4:6" ht="15.75" customHeight="1" x14ac:dyDescent="0.25">
      <c r="D90" s="1"/>
      <c r="F90" s="2"/>
    </row>
    <row r="91" spans="4:6" ht="15.75" customHeight="1" x14ac:dyDescent="0.25">
      <c r="D91" s="1"/>
      <c r="F91" s="2"/>
    </row>
    <row r="92" spans="4:6" ht="15.75" customHeight="1" x14ac:dyDescent="0.25">
      <c r="D92" s="1"/>
      <c r="F92" s="2"/>
    </row>
    <row r="93" spans="4:6" ht="15.75" customHeight="1" x14ac:dyDescent="0.25">
      <c r="D93" s="1"/>
      <c r="F93" s="2"/>
    </row>
    <row r="94" spans="4:6" ht="15.75" customHeight="1" x14ac:dyDescent="0.25">
      <c r="D94" s="1"/>
      <c r="F94" s="2"/>
    </row>
    <row r="95" spans="4:6" ht="15.75" customHeight="1" x14ac:dyDescent="0.25">
      <c r="D95" s="1"/>
      <c r="F95" s="2"/>
    </row>
    <row r="96" spans="4:6" ht="15.75" customHeight="1" x14ac:dyDescent="0.25">
      <c r="D96" s="1"/>
      <c r="F96" s="2"/>
    </row>
    <row r="97" spans="4:6" ht="15.75" customHeight="1" x14ac:dyDescent="0.25">
      <c r="D97" s="1"/>
      <c r="F97" s="2"/>
    </row>
    <row r="98" spans="4:6" ht="15.75" customHeight="1" x14ac:dyDescent="0.25">
      <c r="D98" s="1"/>
      <c r="F98" s="2"/>
    </row>
    <row r="99" spans="4:6" ht="15.75" customHeight="1" x14ac:dyDescent="0.25">
      <c r="D99" s="1"/>
      <c r="F99" s="2"/>
    </row>
    <row r="100" spans="4:6" ht="15.75" customHeight="1" x14ac:dyDescent="0.25">
      <c r="D100" s="1"/>
      <c r="F100" s="2"/>
    </row>
    <row r="101" spans="4:6" ht="15.75" customHeight="1" x14ac:dyDescent="0.25">
      <c r="D101" s="1"/>
      <c r="F101" s="2"/>
    </row>
    <row r="102" spans="4:6" ht="15.75" customHeight="1" x14ac:dyDescent="0.25">
      <c r="D102" s="1"/>
      <c r="F102" s="2"/>
    </row>
    <row r="103" spans="4:6" ht="15.75" customHeight="1" x14ac:dyDescent="0.25">
      <c r="D103" s="1"/>
      <c r="F103" s="2"/>
    </row>
    <row r="104" spans="4:6" ht="15.75" customHeight="1" x14ac:dyDescent="0.25">
      <c r="D104" s="1"/>
      <c r="F104" s="2"/>
    </row>
    <row r="105" spans="4:6" ht="15.75" customHeight="1" x14ac:dyDescent="0.25">
      <c r="D105" s="1"/>
      <c r="F105" s="2"/>
    </row>
    <row r="106" spans="4:6" ht="15.75" customHeight="1" x14ac:dyDescent="0.25">
      <c r="D106" s="1"/>
      <c r="F106" s="2"/>
    </row>
    <row r="107" spans="4:6" ht="15.75" customHeight="1" x14ac:dyDescent="0.25">
      <c r="D107" s="1"/>
      <c r="F107" s="2"/>
    </row>
    <row r="108" spans="4:6" ht="15.75" customHeight="1" x14ac:dyDescent="0.25">
      <c r="D108" s="1"/>
      <c r="F108" s="2"/>
    </row>
    <row r="109" spans="4:6" ht="15.75" customHeight="1" x14ac:dyDescent="0.25">
      <c r="D109" s="1"/>
      <c r="F109" s="2"/>
    </row>
    <row r="110" spans="4:6" ht="15.75" customHeight="1" x14ac:dyDescent="0.25">
      <c r="D110" s="1"/>
      <c r="F110" s="2"/>
    </row>
    <row r="111" spans="4:6" ht="15.75" customHeight="1" x14ac:dyDescent="0.25">
      <c r="D111" s="1"/>
      <c r="F111" s="2"/>
    </row>
    <row r="112" spans="4:6" ht="15.75" customHeight="1" x14ac:dyDescent="0.25">
      <c r="D112" s="1"/>
      <c r="F112" s="2"/>
    </row>
    <row r="113" spans="4:6" ht="15.75" customHeight="1" x14ac:dyDescent="0.25">
      <c r="D113" s="1"/>
      <c r="F113" s="2"/>
    </row>
    <row r="114" spans="4:6" ht="15.75" customHeight="1" x14ac:dyDescent="0.25">
      <c r="D114" s="1"/>
      <c r="F114" s="2"/>
    </row>
    <row r="115" spans="4:6" ht="15.75" customHeight="1" x14ac:dyDescent="0.25">
      <c r="D115" s="1"/>
      <c r="F115" s="2"/>
    </row>
    <row r="116" spans="4:6" ht="15.75" customHeight="1" x14ac:dyDescent="0.25">
      <c r="D116" s="1"/>
      <c r="F116" s="2"/>
    </row>
    <row r="117" spans="4:6" ht="15.75" customHeight="1" x14ac:dyDescent="0.25">
      <c r="D117" s="1"/>
      <c r="F117" s="2"/>
    </row>
    <row r="118" spans="4:6" ht="15.75" customHeight="1" x14ac:dyDescent="0.25">
      <c r="D118" s="1"/>
      <c r="F118" s="2"/>
    </row>
    <row r="119" spans="4:6" ht="15.75" customHeight="1" x14ac:dyDescent="0.25">
      <c r="D119" s="1"/>
      <c r="F119" s="2"/>
    </row>
    <row r="120" spans="4:6" ht="15.75" customHeight="1" x14ac:dyDescent="0.25">
      <c r="D120" s="1"/>
      <c r="F120" s="2"/>
    </row>
    <row r="121" spans="4:6" ht="15.75" customHeight="1" x14ac:dyDescent="0.25">
      <c r="D121" s="1"/>
      <c r="F121" s="2"/>
    </row>
    <row r="122" spans="4:6" ht="15.75" customHeight="1" x14ac:dyDescent="0.25">
      <c r="D122" s="1"/>
      <c r="F122" s="2"/>
    </row>
    <row r="123" spans="4:6" ht="15.75" customHeight="1" x14ac:dyDescent="0.25">
      <c r="D123" s="1"/>
      <c r="F123" s="2"/>
    </row>
    <row r="124" spans="4:6" ht="15.75" customHeight="1" x14ac:dyDescent="0.25">
      <c r="D124" s="1"/>
      <c r="F124" s="2"/>
    </row>
    <row r="125" spans="4:6" ht="15.75" customHeight="1" x14ac:dyDescent="0.25">
      <c r="D125" s="1"/>
      <c r="F125" s="2"/>
    </row>
    <row r="126" spans="4:6" ht="15.75" customHeight="1" x14ac:dyDescent="0.25">
      <c r="D126" s="1"/>
      <c r="F126" s="2"/>
    </row>
    <row r="127" spans="4:6" ht="15.75" customHeight="1" x14ac:dyDescent="0.25">
      <c r="D127" s="1"/>
      <c r="F127" s="2"/>
    </row>
    <row r="128" spans="4:6" ht="15.75" customHeight="1" x14ac:dyDescent="0.25">
      <c r="D128" s="1"/>
      <c r="F128" s="2"/>
    </row>
    <row r="129" spans="4:6" ht="15.75" customHeight="1" x14ac:dyDescent="0.25">
      <c r="D129" s="1"/>
      <c r="F129" s="2"/>
    </row>
    <row r="130" spans="4:6" ht="15.75" customHeight="1" x14ac:dyDescent="0.25">
      <c r="D130" s="1"/>
      <c r="F130" s="2"/>
    </row>
    <row r="131" spans="4:6" ht="15.75" customHeight="1" x14ac:dyDescent="0.25">
      <c r="D131" s="1"/>
      <c r="F131" s="2"/>
    </row>
    <row r="132" spans="4:6" ht="15.75" customHeight="1" x14ac:dyDescent="0.25">
      <c r="D132" s="1"/>
      <c r="F132" s="2"/>
    </row>
    <row r="133" spans="4:6" ht="15.75" customHeight="1" x14ac:dyDescent="0.25">
      <c r="D133" s="1"/>
      <c r="F133" s="2"/>
    </row>
    <row r="134" spans="4:6" ht="15.75" customHeight="1" x14ac:dyDescent="0.25">
      <c r="D134" s="1"/>
      <c r="F134" s="2"/>
    </row>
    <row r="135" spans="4:6" ht="15.75" customHeight="1" x14ac:dyDescent="0.25">
      <c r="D135" s="1"/>
      <c r="F135" s="2"/>
    </row>
    <row r="136" spans="4:6" ht="15.75" customHeight="1" x14ac:dyDescent="0.25">
      <c r="D136" s="1"/>
      <c r="F136" s="2"/>
    </row>
    <row r="137" spans="4:6" ht="15.75" customHeight="1" x14ac:dyDescent="0.25">
      <c r="D137" s="1"/>
      <c r="F137" s="2"/>
    </row>
    <row r="138" spans="4:6" ht="15.75" customHeight="1" x14ac:dyDescent="0.25">
      <c r="D138" s="1"/>
      <c r="F138" s="2"/>
    </row>
    <row r="139" spans="4:6" ht="15.75" customHeight="1" x14ac:dyDescent="0.25">
      <c r="D139" s="1"/>
      <c r="F139" s="2"/>
    </row>
    <row r="140" spans="4:6" ht="15.75" customHeight="1" x14ac:dyDescent="0.25">
      <c r="D140" s="1"/>
      <c r="F140" s="2"/>
    </row>
    <row r="141" spans="4:6" ht="15.75" customHeight="1" x14ac:dyDescent="0.25">
      <c r="D141" s="1"/>
      <c r="F141" s="2"/>
    </row>
    <row r="142" spans="4:6" ht="15.75" customHeight="1" x14ac:dyDescent="0.25">
      <c r="D142" s="1"/>
      <c r="F142" s="2"/>
    </row>
    <row r="143" spans="4:6" ht="15.75" customHeight="1" x14ac:dyDescent="0.25">
      <c r="D143" s="1"/>
      <c r="F143" s="2"/>
    </row>
    <row r="144" spans="4:6" ht="15.75" customHeight="1" x14ac:dyDescent="0.25">
      <c r="D144" s="1"/>
      <c r="F144" s="2"/>
    </row>
    <row r="145" spans="4:6" ht="15.75" customHeight="1" x14ac:dyDescent="0.25">
      <c r="D145" s="1"/>
      <c r="F145" s="2"/>
    </row>
    <row r="146" spans="4:6" ht="15.75" customHeight="1" x14ac:dyDescent="0.25">
      <c r="D146" s="1"/>
      <c r="F146" s="2"/>
    </row>
    <row r="147" spans="4:6" ht="15.75" customHeight="1" x14ac:dyDescent="0.25">
      <c r="D147" s="1"/>
      <c r="F147" s="2"/>
    </row>
    <row r="148" spans="4:6" ht="15.75" customHeight="1" x14ac:dyDescent="0.25">
      <c r="D148" s="1"/>
      <c r="F148" s="2"/>
    </row>
    <row r="149" spans="4:6" ht="15.75" customHeight="1" x14ac:dyDescent="0.25">
      <c r="D149" s="1"/>
      <c r="F149" s="2"/>
    </row>
    <row r="150" spans="4:6" ht="15.75" customHeight="1" x14ac:dyDescent="0.25">
      <c r="D150" s="1"/>
      <c r="F150" s="2"/>
    </row>
    <row r="151" spans="4:6" ht="15.75" customHeight="1" x14ac:dyDescent="0.25">
      <c r="D151" s="1"/>
      <c r="F151" s="2"/>
    </row>
    <row r="152" spans="4:6" ht="15.75" customHeight="1" x14ac:dyDescent="0.25">
      <c r="D152" s="1"/>
      <c r="F152" s="2"/>
    </row>
    <row r="153" spans="4:6" ht="15.75" customHeight="1" x14ac:dyDescent="0.25">
      <c r="D153" s="1"/>
      <c r="F153" s="2"/>
    </row>
    <row r="154" spans="4:6" ht="15.75" customHeight="1" x14ac:dyDescent="0.25">
      <c r="D154" s="1"/>
      <c r="F154" s="2"/>
    </row>
    <row r="155" spans="4:6" ht="15.75" customHeight="1" x14ac:dyDescent="0.25">
      <c r="D155" s="1"/>
      <c r="F155" s="2"/>
    </row>
    <row r="156" spans="4:6" ht="15.75" customHeight="1" x14ac:dyDescent="0.25">
      <c r="D156" s="1"/>
      <c r="F156" s="2"/>
    </row>
    <row r="157" spans="4:6" ht="15.75" customHeight="1" x14ac:dyDescent="0.25">
      <c r="D157" s="1"/>
      <c r="F157" s="2"/>
    </row>
    <row r="158" spans="4:6" ht="15.75" customHeight="1" x14ac:dyDescent="0.25">
      <c r="D158" s="1"/>
      <c r="F158" s="2"/>
    </row>
    <row r="159" spans="4:6" ht="15.75" customHeight="1" x14ac:dyDescent="0.25">
      <c r="D159" s="1"/>
      <c r="F159" s="2"/>
    </row>
    <row r="160" spans="4:6" ht="15.75" customHeight="1" x14ac:dyDescent="0.25">
      <c r="D160" s="1"/>
      <c r="F160" s="2"/>
    </row>
    <row r="161" spans="4:6" ht="15.75" customHeight="1" x14ac:dyDescent="0.25">
      <c r="D161" s="1"/>
      <c r="F161" s="2"/>
    </row>
    <row r="162" spans="4:6" ht="15.75" customHeight="1" x14ac:dyDescent="0.25">
      <c r="D162" s="1"/>
      <c r="F162" s="2"/>
    </row>
    <row r="163" spans="4:6" ht="15.75" customHeight="1" x14ac:dyDescent="0.25">
      <c r="D163" s="1"/>
      <c r="F163" s="2"/>
    </row>
    <row r="164" spans="4:6" ht="15.75" customHeight="1" x14ac:dyDescent="0.25">
      <c r="D164" s="1"/>
      <c r="F164" s="2"/>
    </row>
    <row r="165" spans="4:6" ht="15.75" customHeight="1" x14ac:dyDescent="0.25">
      <c r="D165" s="1"/>
      <c r="F165" s="2"/>
    </row>
    <row r="166" spans="4:6" ht="15.75" customHeight="1" x14ac:dyDescent="0.25">
      <c r="D166" s="1"/>
      <c r="F166" s="2"/>
    </row>
    <row r="167" spans="4:6" ht="15.75" customHeight="1" x14ac:dyDescent="0.25">
      <c r="D167" s="1"/>
      <c r="F167" s="2"/>
    </row>
    <row r="168" spans="4:6" ht="15.75" customHeight="1" x14ac:dyDescent="0.25">
      <c r="D168" s="1"/>
      <c r="F168" s="2"/>
    </row>
    <row r="169" spans="4:6" ht="15.75" customHeight="1" x14ac:dyDescent="0.25">
      <c r="D169" s="1"/>
      <c r="F169" s="2"/>
    </row>
    <row r="170" spans="4:6" ht="15.75" customHeight="1" x14ac:dyDescent="0.25">
      <c r="D170" s="1"/>
      <c r="F170" s="2"/>
    </row>
    <row r="171" spans="4:6" ht="15.75" customHeight="1" x14ac:dyDescent="0.25">
      <c r="D171" s="1"/>
      <c r="F171" s="2"/>
    </row>
    <row r="172" spans="4:6" ht="15.75" customHeight="1" x14ac:dyDescent="0.25">
      <c r="D172" s="1"/>
      <c r="F172" s="2"/>
    </row>
    <row r="173" spans="4:6" ht="15.75" customHeight="1" x14ac:dyDescent="0.25">
      <c r="D173" s="1"/>
      <c r="F173" s="2"/>
    </row>
    <row r="174" spans="4:6" ht="15.75" customHeight="1" x14ac:dyDescent="0.25">
      <c r="D174" s="1"/>
      <c r="F174" s="2"/>
    </row>
    <row r="175" spans="4:6" ht="15.75" customHeight="1" x14ac:dyDescent="0.25">
      <c r="D175" s="1"/>
      <c r="F175" s="2"/>
    </row>
    <row r="176" spans="4:6" ht="15.75" customHeight="1" x14ac:dyDescent="0.25">
      <c r="D176" s="1"/>
      <c r="F176" s="2"/>
    </row>
    <row r="177" spans="4:6" ht="15.75" customHeight="1" x14ac:dyDescent="0.25">
      <c r="D177" s="1"/>
      <c r="F177" s="2"/>
    </row>
    <row r="178" spans="4:6" ht="15.75" customHeight="1" x14ac:dyDescent="0.25">
      <c r="D178" s="1"/>
      <c r="F178" s="2"/>
    </row>
    <row r="179" spans="4:6" ht="15.75" customHeight="1" x14ac:dyDescent="0.25">
      <c r="D179" s="1"/>
      <c r="F179" s="2"/>
    </row>
    <row r="180" spans="4:6" ht="15.75" customHeight="1" x14ac:dyDescent="0.25">
      <c r="D180" s="1"/>
      <c r="F180" s="2"/>
    </row>
    <row r="181" spans="4:6" ht="15.75" customHeight="1" x14ac:dyDescent="0.25">
      <c r="D181" s="1"/>
      <c r="F181" s="2"/>
    </row>
    <row r="182" spans="4:6" ht="15.75" customHeight="1" x14ac:dyDescent="0.25">
      <c r="D182" s="1"/>
      <c r="F182" s="2"/>
    </row>
    <row r="183" spans="4:6" ht="15.75" customHeight="1" x14ac:dyDescent="0.25">
      <c r="D183" s="1"/>
      <c r="F183" s="2"/>
    </row>
    <row r="184" spans="4:6" ht="15.75" customHeight="1" x14ac:dyDescent="0.25">
      <c r="D184" s="1"/>
      <c r="F184" s="2"/>
    </row>
    <row r="185" spans="4:6" ht="15.75" customHeight="1" x14ac:dyDescent="0.25">
      <c r="D185" s="1"/>
      <c r="F185" s="2"/>
    </row>
    <row r="186" spans="4:6" ht="15.75" customHeight="1" x14ac:dyDescent="0.25">
      <c r="D186" s="1"/>
      <c r="F186" s="2"/>
    </row>
    <row r="187" spans="4:6" ht="15.75" customHeight="1" x14ac:dyDescent="0.25">
      <c r="D187" s="1"/>
      <c r="F187" s="2"/>
    </row>
    <row r="188" spans="4:6" ht="15.75" customHeight="1" x14ac:dyDescent="0.25">
      <c r="D188" s="1"/>
      <c r="F188" s="2"/>
    </row>
    <row r="189" spans="4:6" ht="15.75" customHeight="1" x14ac:dyDescent="0.25">
      <c r="D189" s="1"/>
      <c r="F189" s="2"/>
    </row>
    <row r="190" spans="4:6" ht="15.75" customHeight="1" x14ac:dyDescent="0.25">
      <c r="D190" s="1"/>
      <c r="F190" s="2"/>
    </row>
    <row r="191" spans="4:6" ht="15.75" customHeight="1" x14ac:dyDescent="0.25">
      <c r="D191" s="1"/>
      <c r="F191" s="2"/>
    </row>
    <row r="192" spans="4:6" ht="15.75" customHeight="1" x14ac:dyDescent="0.25">
      <c r="D192" s="1"/>
      <c r="F192" s="2"/>
    </row>
    <row r="193" spans="4:6" ht="15.75" customHeight="1" x14ac:dyDescent="0.25">
      <c r="D193" s="1"/>
      <c r="F193" s="2"/>
    </row>
    <row r="194" spans="4:6" ht="15.75" customHeight="1" x14ac:dyDescent="0.25">
      <c r="D194" s="1"/>
      <c r="F194" s="2"/>
    </row>
    <row r="195" spans="4:6" ht="15.75" customHeight="1" x14ac:dyDescent="0.25">
      <c r="D195" s="1"/>
      <c r="F195" s="2"/>
    </row>
    <row r="196" spans="4:6" ht="15.75" customHeight="1" x14ac:dyDescent="0.25">
      <c r="D196" s="1"/>
      <c r="F196" s="2"/>
    </row>
    <row r="197" spans="4:6" ht="15.75" customHeight="1" x14ac:dyDescent="0.25">
      <c r="D197" s="1"/>
      <c r="F197" s="2"/>
    </row>
    <row r="198" spans="4:6" ht="15.75" customHeight="1" x14ac:dyDescent="0.25">
      <c r="D198" s="1"/>
      <c r="F198" s="2"/>
    </row>
    <row r="199" spans="4:6" ht="15.75" customHeight="1" x14ac:dyDescent="0.25">
      <c r="D199" s="1"/>
      <c r="F199" s="2"/>
    </row>
    <row r="200" spans="4:6" ht="15.75" customHeight="1" x14ac:dyDescent="0.25">
      <c r="D200" s="1"/>
      <c r="F200" s="2"/>
    </row>
    <row r="201" spans="4:6" ht="15.75" customHeight="1" x14ac:dyDescent="0.25">
      <c r="D201" s="1"/>
      <c r="F201" s="2"/>
    </row>
    <row r="202" spans="4:6" ht="15.75" customHeight="1" x14ac:dyDescent="0.25">
      <c r="D202" s="1"/>
      <c r="F202" s="2"/>
    </row>
    <row r="203" spans="4:6" ht="15.75" customHeight="1" x14ac:dyDescent="0.25">
      <c r="D203" s="1"/>
      <c r="F203" s="2"/>
    </row>
    <row r="204" spans="4:6" ht="15.75" customHeight="1" x14ac:dyDescent="0.25">
      <c r="D204" s="1"/>
      <c r="F204" s="2"/>
    </row>
    <row r="205" spans="4:6" ht="15.75" customHeight="1" x14ac:dyDescent="0.25">
      <c r="D205" s="1"/>
      <c r="F205" s="2"/>
    </row>
    <row r="206" spans="4:6" ht="15.75" customHeight="1" x14ac:dyDescent="0.25">
      <c r="D206" s="1"/>
      <c r="F206" s="2"/>
    </row>
    <row r="207" spans="4:6" ht="15.75" customHeight="1" x14ac:dyDescent="0.25">
      <c r="D207" s="1"/>
      <c r="F207" s="2"/>
    </row>
    <row r="208" spans="4:6" ht="15.75" customHeight="1" x14ac:dyDescent="0.25">
      <c r="D208" s="1"/>
      <c r="F208" s="2"/>
    </row>
    <row r="209" spans="4:6" ht="15.75" customHeight="1" x14ac:dyDescent="0.25">
      <c r="D209" s="1"/>
      <c r="F209" s="2"/>
    </row>
    <row r="210" spans="4:6" ht="15.75" customHeight="1" x14ac:dyDescent="0.25">
      <c r="D210" s="1"/>
      <c r="F210" s="2"/>
    </row>
    <row r="211" spans="4:6" ht="15.75" customHeight="1" x14ac:dyDescent="0.25">
      <c r="D211" s="1"/>
      <c r="F211" s="2"/>
    </row>
    <row r="212" spans="4:6" ht="15.75" customHeight="1" x14ac:dyDescent="0.25">
      <c r="D212" s="1"/>
      <c r="F212" s="2"/>
    </row>
    <row r="213" spans="4:6" ht="15.75" customHeight="1" x14ac:dyDescent="0.25">
      <c r="D213" s="1"/>
      <c r="F213" s="2"/>
    </row>
    <row r="214" spans="4:6" ht="15.75" customHeight="1" x14ac:dyDescent="0.25">
      <c r="D214" s="1"/>
      <c r="F214" s="2"/>
    </row>
    <row r="215" spans="4:6" ht="15.75" customHeight="1" x14ac:dyDescent="0.25">
      <c r="D215" s="1"/>
      <c r="F215" s="2"/>
    </row>
    <row r="216" spans="4:6" ht="15.75" customHeight="1" x14ac:dyDescent="0.25">
      <c r="D216" s="1"/>
      <c r="F216" s="2"/>
    </row>
    <row r="217" spans="4:6" ht="15.75" customHeight="1" x14ac:dyDescent="0.25">
      <c r="D217" s="1"/>
      <c r="F217" s="2"/>
    </row>
    <row r="218" spans="4:6" ht="15.75" customHeight="1" x14ac:dyDescent="0.25">
      <c r="D218" s="1"/>
      <c r="F218" s="2"/>
    </row>
    <row r="219" spans="4:6" ht="15.75" customHeight="1" x14ac:dyDescent="0.25">
      <c r="D219" s="1"/>
      <c r="F219" s="2"/>
    </row>
    <row r="220" spans="4:6" ht="15.75" customHeight="1" x14ac:dyDescent="0.25">
      <c r="D220" s="1"/>
      <c r="F220" s="2"/>
    </row>
    <row r="221" spans="4:6" ht="15.75" customHeight="1" x14ac:dyDescent="0.25">
      <c r="D221" s="1"/>
      <c r="F221" s="2"/>
    </row>
    <row r="222" spans="4:6" ht="15.75" customHeight="1" x14ac:dyDescent="0.25">
      <c r="D222" s="1"/>
      <c r="F222" s="2"/>
    </row>
    <row r="223" spans="4:6" ht="15.75" customHeight="1" x14ac:dyDescent="0.25">
      <c r="D223" s="1"/>
      <c r="F223" s="2"/>
    </row>
    <row r="224" spans="4:6" ht="15.75" customHeight="1" x14ac:dyDescent="0.25">
      <c r="D224" s="1"/>
      <c r="F224" s="2"/>
    </row>
    <row r="225" spans="4:6" ht="15.75" customHeight="1" x14ac:dyDescent="0.25">
      <c r="D225" s="1"/>
      <c r="F225" s="2"/>
    </row>
    <row r="226" spans="4:6" ht="15.75" customHeight="1" x14ac:dyDescent="0.25">
      <c r="D226" s="1"/>
      <c r="F226" s="2"/>
    </row>
    <row r="227" spans="4:6" ht="15.75" customHeight="1" x14ac:dyDescent="0.25">
      <c r="D227" s="1"/>
      <c r="F227" s="2"/>
    </row>
    <row r="228" spans="4:6" ht="15.75" customHeight="1" x14ac:dyDescent="0.25">
      <c r="D228" s="1"/>
      <c r="F228" s="2"/>
    </row>
    <row r="229" spans="4:6" ht="15.75" customHeight="1" x14ac:dyDescent="0.25">
      <c r="D229" s="1"/>
      <c r="F229" s="2"/>
    </row>
    <row r="230" spans="4:6" ht="15.75" customHeight="1" x14ac:dyDescent="0.25">
      <c r="D230" s="1"/>
      <c r="F230" s="2"/>
    </row>
    <row r="231" spans="4:6" ht="15.75" customHeight="1" x14ac:dyDescent="0.25">
      <c r="D231" s="1"/>
      <c r="F231" s="2"/>
    </row>
    <row r="232" spans="4:6" ht="15.75" customHeight="1" x14ac:dyDescent="0.25">
      <c r="D232" s="1"/>
      <c r="F232" s="2"/>
    </row>
    <row r="233" spans="4:6" ht="15.75" customHeight="1" x14ac:dyDescent="0.25">
      <c r="D233" s="1"/>
      <c r="F233" s="2"/>
    </row>
    <row r="234" spans="4:6" ht="15.75" customHeight="1" x14ac:dyDescent="0.25">
      <c r="D234" s="1"/>
      <c r="F234" s="2"/>
    </row>
    <row r="235" spans="4:6" ht="15.75" customHeight="1" x14ac:dyDescent="0.25">
      <c r="D235" s="1"/>
      <c r="F235" s="2"/>
    </row>
    <row r="236" spans="4:6" ht="15.75" customHeight="1" x14ac:dyDescent="0.25">
      <c r="D236" s="1"/>
      <c r="F236" s="2"/>
    </row>
    <row r="237" spans="4:6" ht="15.75" customHeight="1" x14ac:dyDescent="0.25">
      <c r="D237" s="1"/>
      <c r="F237" s="2"/>
    </row>
    <row r="238" spans="4:6" ht="15.75" customHeight="1" x14ac:dyDescent="0.25">
      <c r="D238" s="1"/>
      <c r="F238" s="2"/>
    </row>
    <row r="239" spans="4:6" ht="15.75" customHeight="1" x14ac:dyDescent="0.25">
      <c r="D239" s="1"/>
      <c r="F239" s="2"/>
    </row>
    <row r="240" spans="4:6" ht="15.75" customHeight="1" x14ac:dyDescent="0.25">
      <c r="D240" s="1"/>
      <c r="F240" s="2"/>
    </row>
    <row r="241" spans="4:6" ht="15.75" customHeight="1" x14ac:dyDescent="0.25">
      <c r="D241" s="1"/>
      <c r="F241" s="2"/>
    </row>
    <row r="242" spans="4:6" ht="15.75" customHeight="1" x14ac:dyDescent="0.25">
      <c r="D242" s="1"/>
      <c r="F242" s="2"/>
    </row>
    <row r="243" spans="4:6" ht="15.75" customHeight="1" x14ac:dyDescent="0.25">
      <c r="D243" s="1"/>
      <c r="F243" s="2"/>
    </row>
    <row r="244" spans="4:6" ht="15.75" customHeight="1" x14ac:dyDescent="0.25">
      <c r="D244" s="1"/>
      <c r="F244" s="2"/>
    </row>
    <row r="245" spans="4:6" ht="15.75" customHeight="1" x14ac:dyDescent="0.25">
      <c r="D245" s="1"/>
      <c r="F245" s="2"/>
    </row>
    <row r="246" spans="4:6" ht="15.75" customHeight="1" x14ac:dyDescent="0.25">
      <c r="D246" s="1"/>
      <c r="F246" s="2"/>
    </row>
    <row r="247" spans="4:6" ht="15.75" customHeight="1" x14ac:dyDescent="0.25">
      <c r="D247" s="1"/>
      <c r="F247" s="2"/>
    </row>
    <row r="248" spans="4:6" ht="15.75" customHeight="1" x14ac:dyDescent="0.25">
      <c r="D248" s="1"/>
      <c r="F248" s="2"/>
    </row>
    <row r="249" spans="4:6" ht="15.75" customHeight="1" x14ac:dyDescent="0.25">
      <c r="D249" s="1"/>
      <c r="F249" s="2"/>
    </row>
    <row r="250" spans="4:6" ht="15.75" customHeight="1" x14ac:dyDescent="0.25">
      <c r="D250" s="1"/>
      <c r="F250" s="2"/>
    </row>
    <row r="251" spans="4:6" ht="15.75" customHeight="1" x14ac:dyDescent="0.25">
      <c r="D251" s="1"/>
      <c r="F251" s="2"/>
    </row>
    <row r="252" spans="4:6" ht="15.75" customHeight="1" x14ac:dyDescent="0.25">
      <c r="D252" s="1"/>
      <c r="F252" s="2"/>
    </row>
    <row r="253" spans="4:6" ht="15.75" customHeight="1" x14ac:dyDescent="0.25">
      <c r="D253" s="1"/>
      <c r="F253" s="2"/>
    </row>
    <row r="254" spans="4:6" ht="15.75" customHeight="1" x14ac:dyDescent="0.25">
      <c r="D254" s="1"/>
      <c r="F254" s="2"/>
    </row>
    <row r="255" spans="4:6" ht="15.75" customHeight="1" x14ac:dyDescent="0.25">
      <c r="D255" s="1"/>
      <c r="F255" s="2"/>
    </row>
    <row r="256" spans="4:6" ht="15.75" customHeight="1" x14ac:dyDescent="0.25">
      <c r="D256" s="1"/>
      <c r="F256" s="2"/>
    </row>
    <row r="257" spans="4:6" ht="15.75" customHeight="1" x14ac:dyDescent="0.25">
      <c r="D257" s="1"/>
      <c r="F257" s="2"/>
    </row>
    <row r="258" spans="4:6" ht="15.75" customHeight="1" x14ac:dyDescent="0.25">
      <c r="D258" s="1"/>
      <c r="F258" s="2"/>
    </row>
    <row r="259" spans="4:6" ht="15.75" customHeight="1" x14ac:dyDescent="0.25">
      <c r="D259" s="1"/>
      <c r="F259" s="2"/>
    </row>
    <row r="260" spans="4:6" ht="15.75" customHeight="1" x14ac:dyDescent="0.25">
      <c r="D260" s="1"/>
      <c r="F260" s="2"/>
    </row>
    <row r="261" spans="4:6" ht="15.75" customHeight="1" x14ac:dyDescent="0.25">
      <c r="D261" s="1"/>
      <c r="F261" s="2"/>
    </row>
    <row r="262" spans="4:6" ht="15.75" customHeight="1" x14ac:dyDescent="0.25">
      <c r="D262" s="1"/>
      <c r="F262" s="2"/>
    </row>
    <row r="263" spans="4:6" ht="15.75" customHeight="1" x14ac:dyDescent="0.25">
      <c r="D263" s="1"/>
      <c r="F263" s="2"/>
    </row>
    <row r="264" spans="4:6" ht="15.75" customHeight="1" x14ac:dyDescent="0.25">
      <c r="D264" s="1"/>
      <c r="F264" s="2"/>
    </row>
    <row r="265" spans="4:6" ht="15.75" customHeight="1" x14ac:dyDescent="0.25">
      <c r="D265" s="1"/>
      <c r="F265" s="2"/>
    </row>
    <row r="266" spans="4:6" ht="15.75" customHeight="1" x14ac:dyDescent="0.25">
      <c r="D266" s="1"/>
      <c r="F266" s="2"/>
    </row>
    <row r="267" spans="4:6" ht="15.75" customHeight="1" x14ac:dyDescent="0.25">
      <c r="D267" s="1"/>
      <c r="F267" s="2"/>
    </row>
    <row r="268" spans="4:6" ht="15.75" customHeight="1" x14ac:dyDescent="0.25">
      <c r="D268" s="1"/>
      <c r="F268" s="2"/>
    </row>
    <row r="269" spans="4:6" ht="15.75" customHeight="1" x14ac:dyDescent="0.25">
      <c r="D269" s="1"/>
      <c r="F269" s="2"/>
    </row>
    <row r="270" spans="4:6" ht="15.75" customHeight="1" x14ac:dyDescent="0.25">
      <c r="D270" s="1"/>
      <c r="F270" s="2"/>
    </row>
    <row r="271" spans="4:6" ht="15.75" customHeight="1" x14ac:dyDescent="0.25">
      <c r="D271" s="1"/>
      <c r="F271" s="2"/>
    </row>
    <row r="272" spans="4:6" ht="15.75" customHeight="1" x14ac:dyDescent="0.25">
      <c r="D272" s="1"/>
      <c r="F272" s="2"/>
    </row>
    <row r="273" spans="4:6" ht="15.75" customHeight="1" x14ac:dyDescent="0.25">
      <c r="D273" s="1"/>
      <c r="F273" s="2"/>
    </row>
    <row r="274" spans="4:6" ht="15.75" customHeight="1" x14ac:dyDescent="0.25">
      <c r="D274" s="1"/>
      <c r="F274" s="2"/>
    </row>
    <row r="275" spans="4:6" ht="15.75" customHeight="1" x14ac:dyDescent="0.25">
      <c r="D275" s="1"/>
      <c r="F275" s="2"/>
    </row>
    <row r="276" spans="4:6" ht="15.75" customHeight="1" x14ac:dyDescent="0.25">
      <c r="D276" s="1"/>
      <c r="F276" s="2"/>
    </row>
    <row r="277" spans="4:6" ht="15.75" customHeight="1" x14ac:dyDescent="0.25">
      <c r="D277" s="1"/>
      <c r="F277" s="2"/>
    </row>
    <row r="278" spans="4:6" ht="15.75" customHeight="1" x14ac:dyDescent="0.25">
      <c r="D278" s="1"/>
      <c r="F278" s="2"/>
    </row>
    <row r="279" spans="4:6" ht="15.75" customHeight="1" x14ac:dyDescent="0.25">
      <c r="D279" s="1"/>
      <c r="F279" s="2"/>
    </row>
    <row r="280" spans="4:6" ht="15.75" customHeight="1" x14ac:dyDescent="0.25">
      <c r="D280" s="1"/>
      <c r="F280" s="2"/>
    </row>
    <row r="281" spans="4:6" ht="15.75" customHeight="1" x14ac:dyDescent="0.25">
      <c r="D281" s="1"/>
      <c r="F281" s="2"/>
    </row>
    <row r="282" spans="4:6" ht="15.75" customHeight="1" x14ac:dyDescent="0.25">
      <c r="D282" s="1"/>
      <c r="F282" s="2"/>
    </row>
    <row r="283" spans="4:6" ht="15.75" customHeight="1" x14ac:dyDescent="0.25">
      <c r="D283" s="1"/>
      <c r="F283" s="2"/>
    </row>
    <row r="284" spans="4:6" ht="15.75" customHeight="1" x14ac:dyDescent="0.25">
      <c r="D284" s="1"/>
      <c r="F284" s="2"/>
    </row>
    <row r="285" spans="4:6" ht="15.75" customHeight="1" x14ac:dyDescent="0.25">
      <c r="D285" s="1"/>
      <c r="F285" s="2"/>
    </row>
    <row r="286" spans="4:6" ht="15.75" customHeight="1" x14ac:dyDescent="0.25">
      <c r="D286" s="1"/>
      <c r="F286" s="2"/>
    </row>
    <row r="287" spans="4:6" ht="15.75" customHeight="1" x14ac:dyDescent="0.25">
      <c r="D287" s="1"/>
      <c r="F287" s="2"/>
    </row>
    <row r="288" spans="4:6" ht="15.75" customHeight="1" x14ac:dyDescent="0.25">
      <c r="D288" s="1"/>
      <c r="F288" s="2"/>
    </row>
    <row r="289" spans="4:6" ht="15.75" customHeight="1" x14ac:dyDescent="0.25">
      <c r="D289" s="1"/>
      <c r="F289" s="2"/>
    </row>
    <row r="290" spans="4:6" ht="15.75" customHeight="1" x14ac:dyDescent="0.25">
      <c r="D290" s="1"/>
      <c r="F290" s="2"/>
    </row>
    <row r="291" spans="4:6" ht="15.75" customHeight="1" x14ac:dyDescent="0.25">
      <c r="D291" s="1"/>
      <c r="F291" s="2"/>
    </row>
    <row r="292" spans="4:6" ht="15.75" customHeight="1" x14ac:dyDescent="0.25">
      <c r="D292" s="1"/>
      <c r="F292" s="2"/>
    </row>
    <row r="293" spans="4:6" ht="15.75" customHeight="1" x14ac:dyDescent="0.25">
      <c r="D293" s="1"/>
      <c r="F293" s="2"/>
    </row>
    <row r="294" spans="4:6" ht="15.75" customHeight="1" x14ac:dyDescent="0.25">
      <c r="D294" s="1"/>
      <c r="F294" s="2"/>
    </row>
    <row r="295" spans="4:6" ht="15.75" customHeight="1" x14ac:dyDescent="0.25">
      <c r="D295" s="1"/>
      <c r="F295" s="2"/>
    </row>
    <row r="296" spans="4:6" ht="15.75" customHeight="1" x14ac:dyDescent="0.25">
      <c r="D296" s="1"/>
      <c r="F296" s="2"/>
    </row>
    <row r="297" spans="4:6" ht="15.75" customHeight="1" x14ac:dyDescent="0.25">
      <c r="D297" s="1"/>
      <c r="F297" s="2"/>
    </row>
    <row r="298" spans="4:6" ht="15.75" customHeight="1" x14ac:dyDescent="0.25">
      <c r="D298" s="1"/>
      <c r="F298" s="2"/>
    </row>
    <row r="299" spans="4:6" ht="15.75" customHeight="1" x14ac:dyDescent="0.25">
      <c r="D299" s="1"/>
      <c r="F299" s="2"/>
    </row>
    <row r="300" spans="4:6" ht="15.75" customHeight="1" x14ac:dyDescent="0.25">
      <c r="D300" s="1"/>
      <c r="F300" s="2"/>
    </row>
    <row r="301" spans="4:6" ht="15.75" customHeight="1" x14ac:dyDescent="0.25">
      <c r="D301" s="1"/>
      <c r="F301" s="2"/>
    </row>
    <row r="302" spans="4:6" ht="15.75" customHeight="1" x14ac:dyDescent="0.25">
      <c r="D302" s="1"/>
      <c r="F302" s="2"/>
    </row>
    <row r="303" spans="4:6" ht="15.75" customHeight="1" x14ac:dyDescent="0.25">
      <c r="D303" s="1"/>
      <c r="F303" s="2"/>
    </row>
    <row r="304" spans="4:6" ht="15.75" customHeight="1" x14ac:dyDescent="0.25">
      <c r="D304" s="1"/>
      <c r="F304" s="2"/>
    </row>
    <row r="305" spans="4:6" ht="15.75" customHeight="1" x14ac:dyDescent="0.25">
      <c r="D305" s="1"/>
      <c r="F305" s="2"/>
    </row>
    <row r="306" spans="4:6" ht="15.75" customHeight="1" x14ac:dyDescent="0.25">
      <c r="D306" s="1"/>
      <c r="F306" s="2"/>
    </row>
    <row r="307" spans="4:6" ht="15.75" customHeight="1" x14ac:dyDescent="0.25">
      <c r="D307" s="1"/>
      <c r="F307" s="2"/>
    </row>
    <row r="308" spans="4:6" ht="15.75" customHeight="1" x14ac:dyDescent="0.25">
      <c r="D308" s="1"/>
      <c r="F308" s="2"/>
    </row>
    <row r="309" spans="4:6" ht="15.75" customHeight="1" x14ac:dyDescent="0.25">
      <c r="D309" s="1"/>
      <c r="F309" s="2"/>
    </row>
    <row r="310" spans="4:6" ht="15.75" customHeight="1" x14ac:dyDescent="0.25">
      <c r="D310" s="1"/>
      <c r="F310" s="2"/>
    </row>
    <row r="311" spans="4:6" ht="15.75" customHeight="1" x14ac:dyDescent="0.25">
      <c r="D311" s="1"/>
      <c r="F311" s="2"/>
    </row>
    <row r="312" spans="4:6" ht="15.75" customHeight="1" x14ac:dyDescent="0.25">
      <c r="D312" s="1"/>
      <c r="F312" s="2"/>
    </row>
    <row r="313" spans="4:6" ht="15.75" customHeight="1" x14ac:dyDescent="0.25">
      <c r="D313" s="1"/>
      <c r="F313" s="2"/>
    </row>
    <row r="314" spans="4:6" ht="15.75" customHeight="1" x14ac:dyDescent="0.25">
      <c r="D314" s="1"/>
      <c r="F314" s="2"/>
    </row>
    <row r="315" spans="4:6" ht="15.75" customHeight="1" x14ac:dyDescent="0.25">
      <c r="D315" s="1"/>
      <c r="F315" s="2"/>
    </row>
    <row r="316" spans="4:6" ht="15.75" customHeight="1" x14ac:dyDescent="0.25">
      <c r="D316" s="1"/>
      <c r="F316" s="2"/>
    </row>
    <row r="317" spans="4:6" ht="15.75" customHeight="1" x14ac:dyDescent="0.25">
      <c r="D317" s="1"/>
      <c r="F317" s="2"/>
    </row>
    <row r="318" spans="4:6" ht="15.75" customHeight="1" x14ac:dyDescent="0.25">
      <c r="D318" s="1"/>
      <c r="F318" s="2"/>
    </row>
    <row r="319" spans="4:6" ht="15.75" customHeight="1" x14ac:dyDescent="0.25">
      <c r="D319" s="1"/>
      <c r="F319" s="2"/>
    </row>
    <row r="320" spans="4:6" ht="15.75" customHeight="1" x14ac:dyDescent="0.25">
      <c r="D320" s="1"/>
      <c r="F320" s="2"/>
    </row>
    <row r="321" spans="4:6" ht="15.75" customHeight="1" x14ac:dyDescent="0.25">
      <c r="D321" s="1"/>
      <c r="F321" s="2"/>
    </row>
    <row r="322" spans="4:6" ht="15.75" customHeight="1" x14ac:dyDescent="0.25">
      <c r="D322" s="1"/>
      <c r="F322" s="2"/>
    </row>
    <row r="323" spans="4:6" ht="15.75" customHeight="1" x14ac:dyDescent="0.25">
      <c r="D323" s="1"/>
      <c r="F323" s="2"/>
    </row>
    <row r="324" spans="4:6" ht="15.75" customHeight="1" x14ac:dyDescent="0.25">
      <c r="D324" s="1"/>
      <c r="F324" s="2"/>
    </row>
    <row r="325" spans="4:6" ht="15.75" customHeight="1" x14ac:dyDescent="0.25">
      <c r="D325" s="1"/>
      <c r="F325" s="2"/>
    </row>
    <row r="326" spans="4:6" ht="15.75" customHeight="1" x14ac:dyDescent="0.25">
      <c r="D326" s="1"/>
      <c r="F326" s="2"/>
    </row>
    <row r="327" spans="4:6" ht="15.75" customHeight="1" x14ac:dyDescent="0.25">
      <c r="D327" s="1"/>
      <c r="F327" s="2"/>
    </row>
    <row r="328" spans="4:6" ht="15.75" customHeight="1" x14ac:dyDescent="0.25">
      <c r="D328" s="1"/>
      <c r="F328" s="2"/>
    </row>
    <row r="329" spans="4:6" ht="15.75" customHeight="1" x14ac:dyDescent="0.25">
      <c r="D329" s="1"/>
      <c r="F329" s="2"/>
    </row>
    <row r="330" spans="4:6" ht="15.75" customHeight="1" x14ac:dyDescent="0.25">
      <c r="D330" s="1"/>
      <c r="F330" s="2"/>
    </row>
    <row r="331" spans="4:6" ht="15.75" customHeight="1" x14ac:dyDescent="0.25">
      <c r="D331" s="1"/>
      <c r="F331" s="2"/>
    </row>
    <row r="332" spans="4:6" ht="15.75" customHeight="1" x14ac:dyDescent="0.25">
      <c r="D332" s="1"/>
      <c r="F332" s="2"/>
    </row>
    <row r="333" spans="4:6" ht="15.75" customHeight="1" x14ac:dyDescent="0.25">
      <c r="D333" s="1"/>
      <c r="F333" s="2"/>
    </row>
    <row r="334" spans="4:6" ht="15.75" customHeight="1" x14ac:dyDescent="0.25">
      <c r="D334" s="1"/>
      <c r="F334" s="2"/>
    </row>
    <row r="335" spans="4:6" ht="15.75" customHeight="1" x14ac:dyDescent="0.25">
      <c r="D335" s="1"/>
      <c r="F335" s="2"/>
    </row>
    <row r="336" spans="4:6" ht="15.75" customHeight="1" x14ac:dyDescent="0.25">
      <c r="D336" s="1"/>
      <c r="F336" s="2"/>
    </row>
    <row r="337" spans="4:6" ht="15.75" customHeight="1" x14ac:dyDescent="0.25">
      <c r="D337" s="1"/>
      <c r="F337" s="2"/>
    </row>
    <row r="338" spans="4:6" ht="15.75" customHeight="1" x14ac:dyDescent="0.25">
      <c r="D338" s="1"/>
      <c r="F338" s="2"/>
    </row>
    <row r="339" spans="4:6" ht="15.75" customHeight="1" x14ac:dyDescent="0.25">
      <c r="D339" s="1"/>
      <c r="F339" s="2"/>
    </row>
    <row r="340" spans="4:6" ht="15.75" customHeight="1" x14ac:dyDescent="0.25">
      <c r="D340" s="1"/>
      <c r="F340" s="2"/>
    </row>
    <row r="341" spans="4:6" ht="15.75" customHeight="1" x14ac:dyDescent="0.25">
      <c r="D341" s="1"/>
      <c r="F341" s="2"/>
    </row>
    <row r="342" spans="4:6" ht="15.75" customHeight="1" x14ac:dyDescent="0.25">
      <c r="D342" s="1"/>
      <c r="F342" s="2"/>
    </row>
    <row r="343" spans="4:6" ht="15.75" customHeight="1" x14ac:dyDescent="0.25">
      <c r="D343" s="1"/>
      <c r="F343" s="2"/>
    </row>
    <row r="344" spans="4:6" ht="15.75" customHeight="1" x14ac:dyDescent="0.25">
      <c r="D344" s="1"/>
      <c r="F344" s="2"/>
    </row>
    <row r="345" spans="4:6" ht="15.75" customHeight="1" x14ac:dyDescent="0.25">
      <c r="D345" s="1"/>
      <c r="F345" s="2"/>
    </row>
    <row r="346" spans="4:6" ht="15.75" customHeight="1" x14ac:dyDescent="0.25">
      <c r="D346" s="1"/>
      <c r="F346" s="2"/>
    </row>
    <row r="347" spans="4:6" ht="15.75" customHeight="1" x14ac:dyDescent="0.25">
      <c r="D347" s="1"/>
      <c r="F347" s="2"/>
    </row>
    <row r="348" spans="4:6" ht="15.75" customHeight="1" x14ac:dyDescent="0.25">
      <c r="D348" s="1"/>
      <c r="F348" s="2"/>
    </row>
    <row r="349" spans="4:6" ht="15.75" customHeight="1" x14ac:dyDescent="0.25">
      <c r="D349" s="1"/>
      <c r="F349" s="2"/>
    </row>
    <row r="350" spans="4:6" ht="15.75" customHeight="1" x14ac:dyDescent="0.25">
      <c r="D350" s="1"/>
      <c r="F350" s="2"/>
    </row>
    <row r="351" spans="4:6" ht="15.75" customHeight="1" x14ac:dyDescent="0.25">
      <c r="D351" s="1"/>
      <c r="F351" s="2"/>
    </row>
    <row r="352" spans="4:6" ht="15.75" customHeight="1" x14ac:dyDescent="0.25">
      <c r="D352" s="1"/>
      <c r="F352" s="2"/>
    </row>
    <row r="353" spans="4:6" ht="15.75" customHeight="1" x14ac:dyDescent="0.25">
      <c r="D353" s="1"/>
      <c r="F353" s="2"/>
    </row>
    <row r="354" spans="4:6" ht="15.75" customHeight="1" x14ac:dyDescent="0.25">
      <c r="D354" s="1"/>
      <c r="F354" s="2"/>
    </row>
    <row r="355" spans="4:6" ht="15.75" customHeight="1" x14ac:dyDescent="0.25">
      <c r="D355" s="1"/>
      <c r="F355" s="2"/>
    </row>
    <row r="356" spans="4:6" ht="15.75" customHeight="1" x14ac:dyDescent="0.25">
      <c r="D356" s="1"/>
      <c r="F356" s="2"/>
    </row>
    <row r="357" spans="4:6" ht="15.75" customHeight="1" x14ac:dyDescent="0.25">
      <c r="D357" s="1"/>
      <c r="F357" s="2"/>
    </row>
    <row r="358" spans="4:6" ht="15.75" customHeight="1" x14ac:dyDescent="0.25">
      <c r="D358" s="1"/>
      <c r="F358" s="2"/>
    </row>
    <row r="359" spans="4:6" ht="15.75" customHeight="1" x14ac:dyDescent="0.25">
      <c r="D359" s="1"/>
      <c r="F359" s="2"/>
    </row>
    <row r="360" spans="4:6" ht="15.75" customHeight="1" x14ac:dyDescent="0.25">
      <c r="D360" s="1"/>
      <c r="F360" s="2"/>
    </row>
    <row r="361" spans="4:6" ht="15.75" customHeight="1" x14ac:dyDescent="0.25">
      <c r="D361" s="1"/>
      <c r="F361" s="2"/>
    </row>
    <row r="362" spans="4:6" ht="15.75" customHeight="1" x14ac:dyDescent="0.25">
      <c r="D362" s="1"/>
      <c r="F362" s="2"/>
    </row>
    <row r="363" spans="4:6" ht="15.75" customHeight="1" x14ac:dyDescent="0.25">
      <c r="D363" s="1"/>
      <c r="F363" s="2"/>
    </row>
    <row r="364" spans="4:6" ht="15.75" customHeight="1" x14ac:dyDescent="0.25">
      <c r="D364" s="1"/>
      <c r="F364" s="2"/>
    </row>
    <row r="365" spans="4:6" ht="15.75" customHeight="1" x14ac:dyDescent="0.25">
      <c r="D365" s="1"/>
      <c r="F365" s="2"/>
    </row>
    <row r="366" spans="4:6" ht="15.75" customHeight="1" x14ac:dyDescent="0.25">
      <c r="D366" s="1"/>
      <c r="F366" s="2"/>
    </row>
    <row r="367" spans="4:6" ht="15.75" customHeight="1" x14ac:dyDescent="0.25">
      <c r="D367" s="1"/>
      <c r="F367" s="2"/>
    </row>
    <row r="368" spans="4:6" ht="15.75" customHeight="1" x14ac:dyDescent="0.25">
      <c r="D368" s="1"/>
      <c r="F368" s="2"/>
    </row>
    <row r="369" spans="4:6" ht="15.75" customHeight="1" x14ac:dyDescent="0.25">
      <c r="D369" s="1"/>
      <c r="F369" s="2"/>
    </row>
    <row r="370" spans="4:6" ht="15.75" customHeight="1" x14ac:dyDescent="0.25">
      <c r="D370" s="1"/>
      <c r="F370" s="2"/>
    </row>
    <row r="371" spans="4:6" ht="15.75" customHeight="1" x14ac:dyDescent="0.25">
      <c r="D371" s="1"/>
      <c r="F371" s="2"/>
    </row>
    <row r="372" spans="4:6" ht="15.75" customHeight="1" x14ac:dyDescent="0.25">
      <c r="D372" s="1"/>
      <c r="F372" s="2"/>
    </row>
    <row r="373" spans="4:6" ht="15.75" customHeight="1" x14ac:dyDescent="0.25">
      <c r="D373" s="1"/>
      <c r="F373" s="2"/>
    </row>
    <row r="374" spans="4:6" ht="15.75" customHeight="1" x14ac:dyDescent="0.25">
      <c r="D374" s="1"/>
      <c r="F374" s="2"/>
    </row>
    <row r="375" spans="4:6" ht="15.75" customHeight="1" x14ac:dyDescent="0.25">
      <c r="D375" s="1"/>
      <c r="F375" s="2"/>
    </row>
    <row r="376" spans="4:6" ht="15.75" customHeight="1" x14ac:dyDescent="0.25">
      <c r="D376" s="1"/>
      <c r="F376" s="2"/>
    </row>
    <row r="377" spans="4:6" ht="15.75" customHeight="1" x14ac:dyDescent="0.25">
      <c r="D377" s="1"/>
      <c r="F377" s="2"/>
    </row>
    <row r="378" spans="4:6" ht="15.75" customHeight="1" x14ac:dyDescent="0.25">
      <c r="D378" s="1"/>
      <c r="F378" s="2"/>
    </row>
    <row r="379" spans="4:6" ht="15.75" customHeight="1" x14ac:dyDescent="0.25">
      <c r="D379" s="1"/>
      <c r="F379" s="2"/>
    </row>
    <row r="380" spans="4:6" ht="15.75" customHeight="1" x14ac:dyDescent="0.25">
      <c r="D380" s="1"/>
      <c r="F380" s="2"/>
    </row>
    <row r="381" spans="4:6" ht="15.75" customHeight="1" x14ac:dyDescent="0.25">
      <c r="D381" s="1"/>
      <c r="F381" s="2"/>
    </row>
    <row r="382" spans="4:6" ht="15.75" customHeight="1" x14ac:dyDescent="0.25">
      <c r="D382" s="1"/>
      <c r="F382" s="2"/>
    </row>
    <row r="383" spans="4:6" ht="15.75" customHeight="1" x14ac:dyDescent="0.25">
      <c r="D383" s="1"/>
      <c r="F383" s="2"/>
    </row>
    <row r="384" spans="4:6" ht="15.75" customHeight="1" x14ac:dyDescent="0.25">
      <c r="D384" s="1"/>
      <c r="F384" s="2"/>
    </row>
    <row r="385" spans="4:6" ht="15.75" customHeight="1" x14ac:dyDescent="0.25">
      <c r="D385" s="1"/>
      <c r="F385" s="2"/>
    </row>
    <row r="386" spans="4:6" ht="15.75" customHeight="1" x14ac:dyDescent="0.25">
      <c r="D386" s="1"/>
      <c r="F386" s="2"/>
    </row>
    <row r="387" spans="4:6" ht="15.75" customHeight="1" x14ac:dyDescent="0.25">
      <c r="D387" s="1"/>
      <c r="F387" s="2"/>
    </row>
    <row r="388" spans="4:6" ht="15.75" customHeight="1" x14ac:dyDescent="0.25">
      <c r="D388" s="1"/>
      <c r="F388" s="2"/>
    </row>
    <row r="389" spans="4:6" ht="15.75" customHeight="1" x14ac:dyDescent="0.25">
      <c r="D389" s="1"/>
      <c r="F389" s="2"/>
    </row>
    <row r="390" spans="4:6" ht="15.75" customHeight="1" x14ac:dyDescent="0.25">
      <c r="D390" s="1"/>
      <c r="F390" s="2"/>
    </row>
    <row r="391" spans="4:6" ht="15.75" customHeight="1" x14ac:dyDescent="0.25">
      <c r="D391" s="1"/>
      <c r="F391" s="2"/>
    </row>
    <row r="392" spans="4:6" ht="15.75" customHeight="1" x14ac:dyDescent="0.25">
      <c r="D392" s="1"/>
      <c r="F392" s="2"/>
    </row>
    <row r="393" spans="4:6" ht="15.75" customHeight="1" x14ac:dyDescent="0.25">
      <c r="D393" s="1"/>
      <c r="F393" s="2"/>
    </row>
    <row r="394" spans="4:6" ht="15.75" customHeight="1" x14ac:dyDescent="0.25">
      <c r="D394" s="1"/>
      <c r="F394" s="2"/>
    </row>
    <row r="395" spans="4:6" ht="15.75" customHeight="1" x14ac:dyDescent="0.25">
      <c r="D395" s="1"/>
      <c r="F395" s="2"/>
    </row>
    <row r="396" spans="4:6" ht="15.75" customHeight="1" x14ac:dyDescent="0.25">
      <c r="D396" s="1"/>
      <c r="F396" s="2"/>
    </row>
    <row r="397" spans="4:6" ht="15.75" customHeight="1" x14ac:dyDescent="0.25">
      <c r="D397" s="1"/>
      <c r="F397" s="2"/>
    </row>
    <row r="398" spans="4:6" ht="15.75" customHeight="1" x14ac:dyDescent="0.25">
      <c r="D398" s="1"/>
      <c r="F398" s="2"/>
    </row>
    <row r="399" spans="4:6" ht="15.75" customHeight="1" x14ac:dyDescent="0.25">
      <c r="D399" s="1"/>
      <c r="F399" s="2"/>
    </row>
    <row r="400" spans="4:6" ht="15.75" customHeight="1" x14ac:dyDescent="0.25">
      <c r="D400" s="1"/>
      <c r="F400" s="2"/>
    </row>
    <row r="401" spans="4:6" ht="15.75" customHeight="1" x14ac:dyDescent="0.25">
      <c r="D401" s="1"/>
      <c r="F401" s="2"/>
    </row>
    <row r="402" spans="4:6" ht="15.75" customHeight="1" x14ac:dyDescent="0.25">
      <c r="D402" s="1"/>
      <c r="F402" s="2"/>
    </row>
    <row r="403" spans="4:6" ht="15.75" customHeight="1" x14ac:dyDescent="0.25">
      <c r="D403" s="1"/>
      <c r="F403" s="2"/>
    </row>
    <row r="404" spans="4:6" ht="15.75" customHeight="1" x14ac:dyDescent="0.25">
      <c r="D404" s="1"/>
      <c r="F404" s="2"/>
    </row>
    <row r="405" spans="4:6" ht="15.75" customHeight="1" x14ac:dyDescent="0.25">
      <c r="D405" s="1"/>
      <c r="F405" s="2"/>
    </row>
    <row r="406" spans="4:6" ht="15.75" customHeight="1" x14ac:dyDescent="0.25">
      <c r="D406" s="1"/>
      <c r="F406" s="2"/>
    </row>
    <row r="407" spans="4:6" ht="15.75" customHeight="1" x14ac:dyDescent="0.25">
      <c r="D407" s="1"/>
      <c r="F407" s="2"/>
    </row>
    <row r="408" spans="4:6" ht="15.75" customHeight="1" x14ac:dyDescent="0.25">
      <c r="D408" s="1"/>
      <c r="F408" s="2"/>
    </row>
    <row r="409" spans="4:6" ht="15.75" customHeight="1" x14ac:dyDescent="0.25">
      <c r="D409" s="1"/>
      <c r="F409" s="2"/>
    </row>
    <row r="410" spans="4:6" ht="15.75" customHeight="1" x14ac:dyDescent="0.25">
      <c r="D410" s="1"/>
      <c r="F410" s="2"/>
    </row>
    <row r="411" spans="4:6" ht="15.75" customHeight="1" x14ac:dyDescent="0.25">
      <c r="D411" s="1"/>
      <c r="F411" s="2"/>
    </row>
    <row r="412" spans="4:6" ht="15.75" customHeight="1" x14ac:dyDescent="0.25">
      <c r="D412" s="1"/>
      <c r="F412" s="2"/>
    </row>
    <row r="413" spans="4:6" ht="15.75" customHeight="1" x14ac:dyDescent="0.25">
      <c r="D413" s="1"/>
      <c r="F413" s="2"/>
    </row>
    <row r="414" spans="4:6" ht="15.75" customHeight="1" x14ac:dyDescent="0.25">
      <c r="D414" s="1"/>
      <c r="F414" s="2"/>
    </row>
    <row r="415" spans="4:6" ht="15.75" customHeight="1" x14ac:dyDescent="0.25">
      <c r="D415" s="1"/>
      <c r="F415" s="2"/>
    </row>
    <row r="416" spans="4:6" ht="15.75" customHeight="1" x14ac:dyDescent="0.25">
      <c r="D416" s="1"/>
      <c r="F416" s="2"/>
    </row>
    <row r="417" spans="4:6" ht="15.75" customHeight="1" x14ac:dyDescent="0.25">
      <c r="D417" s="1"/>
      <c r="F417" s="2"/>
    </row>
    <row r="418" spans="4:6" ht="15.75" customHeight="1" x14ac:dyDescent="0.25">
      <c r="D418" s="1"/>
      <c r="F418" s="2"/>
    </row>
    <row r="419" spans="4:6" ht="15.75" customHeight="1" x14ac:dyDescent="0.25">
      <c r="D419" s="1"/>
      <c r="F419" s="2"/>
    </row>
    <row r="420" spans="4:6" ht="15.75" customHeight="1" x14ac:dyDescent="0.25">
      <c r="D420" s="1"/>
      <c r="F420" s="2"/>
    </row>
    <row r="421" spans="4:6" ht="15.75" customHeight="1" x14ac:dyDescent="0.25">
      <c r="D421" s="1"/>
      <c r="F421" s="2"/>
    </row>
    <row r="422" spans="4:6" ht="15.75" customHeight="1" x14ac:dyDescent="0.25">
      <c r="D422" s="1"/>
      <c r="F422" s="2"/>
    </row>
    <row r="423" spans="4:6" ht="15.75" customHeight="1" x14ac:dyDescent="0.25">
      <c r="D423" s="1"/>
      <c r="F423" s="2"/>
    </row>
    <row r="424" spans="4:6" ht="15.75" customHeight="1" x14ac:dyDescent="0.25">
      <c r="D424" s="1"/>
      <c r="F424" s="2"/>
    </row>
    <row r="425" spans="4:6" ht="15.75" customHeight="1" x14ac:dyDescent="0.25">
      <c r="D425" s="1"/>
      <c r="F425" s="2"/>
    </row>
    <row r="426" spans="4:6" ht="15.75" customHeight="1" x14ac:dyDescent="0.25">
      <c r="D426" s="1"/>
      <c r="F426" s="2"/>
    </row>
    <row r="427" spans="4:6" ht="15.75" customHeight="1" x14ac:dyDescent="0.25">
      <c r="D427" s="1"/>
      <c r="F427" s="2"/>
    </row>
    <row r="428" spans="4:6" ht="15.75" customHeight="1" x14ac:dyDescent="0.25">
      <c r="D428" s="1"/>
      <c r="F428" s="2"/>
    </row>
    <row r="429" spans="4:6" ht="15.75" customHeight="1" x14ac:dyDescent="0.25">
      <c r="D429" s="1"/>
      <c r="F429" s="2"/>
    </row>
    <row r="430" spans="4:6" ht="15.75" customHeight="1" x14ac:dyDescent="0.25">
      <c r="D430" s="1"/>
      <c r="F430" s="2"/>
    </row>
    <row r="431" spans="4:6" ht="15.75" customHeight="1" x14ac:dyDescent="0.25">
      <c r="D431" s="1"/>
      <c r="F431" s="2"/>
    </row>
    <row r="432" spans="4:6" ht="15.75" customHeight="1" x14ac:dyDescent="0.25">
      <c r="D432" s="1"/>
      <c r="F432" s="2"/>
    </row>
    <row r="433" spans="4:6" ht="15.75" customHeight="1" x14ac:dyDescent="0.25">
      <c r="D433" s="1"/>
      <c r="F433" s="2"/>
    </row>
    <row r="434" spans="4:6" ht="15.75" customHeight="1" x14ac:dyDescent="0.25">
      <c r="D434" s="1"/>
      <c r="F434" s="2"/>
    </row>
    <row r="435" spans="4:6" ht="15.75" customHeight="1" x14ac:dyDescent="0.25">
      <c r="D435" s="1"/>
      <c r="F435" s="2"/>
    </row>
    <row r="436" spans="4:6" ht="15.75" customHeight="1" x14ac:dyDescent="0.25">
      <c r="D436" s="1"/>
      <c r="F436" s="2"/>
    </row>
    <row r="437" spans="4:6" ht="15.75" customHeight="1" x14ac:dyDescent="0.25">
      <c r="D437" s="1"/>
      <c r="F437" s="2"/>
    </row>
    <row r="438" spans="4:6" ht="15.75" customHeight="1" x14ac:dyDescent="0.25">
      <c r="D438" s="1"/>
      <c r="F438" s="2"/>
    </row>
    <row r="439" spans="4:6" ht="15.75" customHeight="1" x14ac:dyDescent="0.25">
      <c r="D439" s="1"/>
      <c r="F439" s="2"/>
    </row>
    <row r="440" spans="4:6" ht="15.75" customHeight="1" x14ac:dyDescent="0.25">
      <c r="D440" s="1"/>
      <c r="F440" s="2"/>
    </row>
    <row r="441" spans="4:6" ht="15.75" customHeight="1" x14ac:dyDescent="0.25">
      <c r="D441" s="1"/>
      <c r="F441" s="2"/>
    </row>
    <row r="442" spans="4:6" ht="15.75" customHeight="1" x14ac:dyDescent="0.25">
      <c r="D442" s="1"/>
      <c r="F442" s="2"/>
    </row>
    <row r="443" spans="4:6" ht="15.75" customHeight="1" x14ac:dyDescent="0.25">
      <c r="D443" s="1"/>
      <c r="F443" s="2"/>
    </row>
    <row r="444" spans="4:6" ht="15.75" customHeight="1" x14ac:dyDescent="0.25">
      <c r="D444" s="1"/>
      <c r="F444" s="2"/>
    </row>
    <row r="445" spans="4:6" ht="15.75" customHeight="1" x14ac:dyDescent="0.25">
      <c r="D445" s="1"/>
      <c r="F445" s="2"/>
    </row>
    <row r="446" spans="4:6" ht="15.75" customHeight="1" x14ac:dyDescent="0.25">
      <c r="D446" s="1"/>
      <c r="F446" s="2"/>
    </row>
    <row r="447" spans="4:6" ht="15.75" customHeight="1" x14ac:dyDescent="0.25">
      <c r="D447" s="1"/>
      <c r="F447" s="2"/>
    </row>
    <row r="448" spans="4:6" ht="15.75" customHeight="1" x14ac:dyDescent="0.25">
      <c r="D448" s="1"/>
      <c r="F448" s="2"/>
    </row>
    <row r="449" spans="4:6" ht="15.75" customHeight="1" x14ac:dyDescent="0.25">
      <c r="D449" s="1"/>
      <c r="F449" s="2"/>
    </row>
    <row r="450" spans="4:6" ht="15.75" customHeight="1" x14ac:dyDescent="0.25">
      <c r="D450" s="1"/>
      <c r="F450" s="2"/>
    </row>
    <row r="451" spans="4:6" ht="15.75" customHeight="1" x14ac:dyDescent="0.25">
      <c r="D451" s="1"/>
      <c r="F451" s="2"/>
    </row>
    <row r="452" spans="4:6" ht="15.75" customHeight="1" x14ac:dyDescent="0.25">
      <c r="D452" s="1"/>
      <c r="F452" s="2"/>
    </row>
    <row r="453" spans="4:6" ht="15.75" customHeight="1" x14ac:dyDescent="0.25">
      <c r="D453" s="1"/>
      <c r="F453" s="2"/>
    </row>
    <row r="454" spans="4:6" ht="15.75" customHeight="1" x14ac:dyDescent="0.25">
      <c r="D454" s="1"/>
      <c r="F454" s="2"/>
    </row>
    <row r="455" spans="4:6" ht="15.75" customHeight="1" x14ac:dyDescent="0.25">
      <c r="D455" s="1"/>
      <c r="F455" s="2"/>
    </row>
    <row r="456" spans="4:6" ht="15.75" customHeight="1" x14ac:dyDescent="0.25">
      <c r="D456" s="1"/>
      <c r="F456" s="2"/>
    </row>
    <row r="457" spans="4:6" ht="15.75" customHeight="1" x14ac:dyDescent="0.25">
      <c r="D457" s="1"/>
      <c r="F457" s="2"/>
    </row>
    <row r="458" spans="4:6" ht="15.75" customHeight="1" x14ac:dyDescent="0.25">
      <c r="D458" s="1"/>
      <c r="F458" s="2"/>
    </row>
    <row r="459" spans="4:6" ht="15.75" customHeight="1" x14ac:dyDescent="0.25">
      <c r="D459" s="1"/>
      <c r="F459" s="2"/>
    </row>
    <row r="460" spans="4:6" ht="15.75" customHeight="1" x14ac:dyDescent="0.25">
      <c r="D460" s="1"/>
      <c r="F460" s="2"/>
    </row>
    <row r="461" spans="4:6" ht="15.75" customHeight="1" x14ac:dyDescent="0.25">
      <c r="D461" s="1"/>
      <c r="F461" s="2"/>
    </row>
    <row r="462" spans="4:6" ht="15.75" customHeight="1" x14ac:dyDescent="0.25">
      <c r="D462" s="1"/>
      <c r="F462" s="2"/>
    </row>
    <row r="463" spans="4:6" ht="15.75" customHeight="1" x14ac:dyDescent="0.25">
      <c r="D463" s="1"/>
      <c r="F463" s="2"/>
    </row>
    <row r="464" spans="4:6" ht="15.75" customHeight="1" x14ac:dyDescent="0.25">
      <c r="D464" s="1"/>
      <c r="F464" s="2"/>
    </row>
    <row r="465" spans="4:6" ht="15.75" customHeight="1" x14ac:dyDescent="0.25">
      <c r="D465" s="1"/>
      <c r="F465" s="2"/>
    </row>
    <row r="466" spans="4:6" ht="15.75" customHeight="1" x14ac:dyDescent="0.25">
      <c r="D466" s="1"/>
      <c r="F466" s="2"/>
    </row>
    <row r="467" spans="4:6" ht="15.75" customHeight="1" x14ac:dyDescent="0.25">
      <c r="D467" s="1"/>
      <c r="F467" s="2"/>
    </row>
    <row r="468" spans="4:6" ht="15.75" customHeight="1" x14ac:dyDescent="0.25">
      <c r="D468" s="1"/>
      <c r="F468" s="2"/>
    </row>
    <row r="469" spans="4:6" ht="15.75" customHeight="1" x14ac:dyDescent="0.25">
      <c r="D469" s="1"/>
      <c r="F469" s="2"/>
    </row>
    <row r="470" spans="4:6" ht="15.75" customHeight="1" x14ac:dyDescent="0.25">
      <c r="D470" s="1"/>
      <c r="F470" s="2"/>
    </row>
    <row r="471" spans="4:6" ht="15.75" customHeight="1" x14ac:dyDescent="0.25">
      <c r="D471" s="1"/>
      <c r="F471" s="2"/>
    </row>
    <row r="472" spans="4:6" ht="15.75" customHeight="1" x14ac:dyDescent="0.25">
      <c r="D472" s="1"/>
      <c r="F472" s="2"/>
    </row>
    <row r="473" spans="4:6" ht="15.75" customHeight="1" x14ac:dyDescent="0.25">
      <c r="D473" s="1"/>
      <c r="F473" s="2"/>
    </row>
    <row r="474" spans="4:6" ht="15.75" customHeight="1" x14ac:dyDescent="0.25">
      <c r="D474" s="1"/>
      <c r="F474" s="2"/>
    </row>
    <row r="475" spans="4:6" ht="15.75" customHeight="1" x14ac:dyDescent="0.25">
      <c r="D475" s="1"/>
      <c r="F475" s="2"/>
    </row>
    <row r="476" spans="4:6" ht="15.75" customHeight="1" x14ac:dyDescent="0.25">
      <c r="D476" s="1"/>
      <c r="F476" s="2"/>
    </row>
    <row r="477" spans="4:6" ht="15.75" customHeight="1" x14ac:dyDescent="0.25">
      <c r="D477" s="1"/>
      <c r="F477" s="2"/>
    </row>
    <row r="478" spans="4:6" ht="15.75" customHeight="1" x14ac:dyDescent="0.25">
      <c r="D478" s="1"/>
      <c r="F478" s="2"/>
    </row>
    <row r="479" spans="4:6" ht="15.75" customHeight="1" x14ac:dyDescent="0.25">
      <c r="D479" s="1"/>
      <c r="F479" s="2"/>
    </row>
    <row r="480" spans="4:6" ht="15.75" customHeight="1" x14ac:dyDescent="0.25">
      <c r="D480" s="1"/>
      <c r="F480" s="2"/>
    </row>
    <row r="481" spans="4:6" ht="15.75" customHeight="1" x14ac:dyDescent="0.25">
      <c r="D481" s="1"/>
      <c r="F481" s="2"/>
    </row>
    <row r="482" spans="4:6" ht="15.75" customHeight="1" x14ac:dyDescent="0.25">
      <c r="D482" s="1"/>
      <c r="F482" s="2"/>
    </row>
    <row r="483" spans="4:6" ht="15.75" customHeight="1" x14ac:dyDescent="0.25">
      <c r="D483" s="1"/>
      <c r="F483" s="2"/>
    </row>
    <row r="484" spans="4:6" ht="15.75" customHeight="1" x14ac:dyDescent="0.25">
      <c r="D484" s="1"/>
      <c r="F484" s="2"/>
    </row>
    <row r="485" spans="4:6" ht="15.75" customHeight="1" x14ac:dyDescent="0.25">
      <c r="D485" s="1"/>
      <c r="F485" s="2"/>
    </row>
    <row r="486" spans="4:6" ht="15.75" customHeight="1" x14ac:dyDescent="0.25">
      <c r="D486" s="1"/>
      <c r="F486" s="2"/>
    </row>
    <row r="487" spans="4:6" ht="15.75" customHeight="1" x14ac:dyDescent="0.25">
      <c r="D487" s="1"/>
      <c r="F487" s="2"/>
    </row>
    <row r="488" spans="4:6" ht="15.75" customHeight="1" x14ac:dyDescent="0.25">
      <c r="D488" s="1"/>
      <c r="F488" s="2"/>
    </row>
    <row r="489" spans="4:6" ht="15.75" customHeight="1" x14ac:dyDescent="0.25">
      <c r="D489" s="1"/>
      <c r="F489" s="2"/>
    </row>
    <row r="490" spans="4:6" ht="15.75" customHeight="1" x14ac:dyDescent="0.25">
      <c r="D490" s="1"/>
      <c r="F490" s="2"/>
    </row>
    <row r="491" spans="4:6" ht="15.75" customHeight="1" x14ac:dyDescent="0.25">
      <c r="D491" s="1"/>
      <c r="F491" s="2"/>
    </row>
    <row r="492" spans="4:6" ht="15.75" customHeight="1" x14ac:dyDescent="0.25">
      <c r="D492" s="1"/>
      <c r="F492" s="2"/>
    </row>
    <row r="493" spans="4:6" ht="15.75" customHeight="1" x14ac:dyDescent="0.25">
      <c r="D493" s="1"/>
      <c r="F493" s="2"/>
    </row>
    <row r="494" spans="4:6" ht="15.75" customHeight="1" x14ac:dyDescent="0.25">
      <c r="D494" s="1"/>
      <c r="F494" s="2"/>
    </row>
    <row r="495" spans="4:6" ht="15.75" customHeight="1" x14ac:dyDescent="0.25">
      <c r="D495" s="1"/>
      <c r="F495" s="2"/>
    </row>
    <row r="496" spans="4:6" ht="15.75" customHeight="1" x14ac:dyDescent="0.25">
      <c r="D496" s="1"/>
      <c r="F496" s="2"/>
    </row>
    <row r="497" spans="4:6" ht="15.75" customHeight="1" x14ac:dyDescent="0.25">
      <c r="D497" s="1"/>
      <c r="F497" s="2"/>
    </row>
    <row r="498" spans="4:6" ht="15.75" customHeight="1" x14ac:dyDescent="0.25">
      <c r="D498" s="1"/>
      <c r="F498" s="2"/>
    </row>
    <row r="499" spans="4:6" ht="15.75" customHeight="1" x14ac:dyDescent="0.25">
      <c r="D499" s="1"/>
      <c r="F499" s="2"/>
    </row>
    <row r="500" spans="4:6" ht="15.75" customHeight="1" x14ac:dyDescent="0.25">
      <c r="D500" s="1"/>
      <c r="F500" s="2"/>
    </row>
    <row r="501" spans="4:6" ht="15.75" customHeight="1" x14ac:dyDescent="0.25">
      <c r="D501" s="1"/>
      <c r="F501" s="2"/>
    </row>
    <row r="502" spans="4:6" ht="15.75" customHeight="1" x14ac:dyDescent="0.25">
      <c r="D502" s="1"/>
      <c r="F502" s="2"/>
    </row>
    <row r="503" spans="4:6" ht="15.75" customHeight="1" x14ac:dyDescent="0.25">
      <c r="D503" s="1"/>
      <c r="F503" s="2"/>
    </row>
    <row r="504" spans="4:6" ht="15.75" customHeight="1" x14ac:dyDescent="0.25">
      <c r="D504" s="1"/>
      <c r="F504" s="2"/>
    </row>
    <row r="505" spans="4:6" ht="15.75" customHeight="1" x14ac:dyDescent="0.25">
      <c r="D505" s="1"/>
      <c r="F505" s="2"/>
    </row>
    <row r="506" spans="4:6" ht="15.75" customHeight="1" x14ac:dyDescent="0.25">
      <c r="D506" s="1"/>
      <c r="F506" s="2"/>
    </row>
    <row r="507" spans="4:6" ht="15.75" customHeight="1" x14ac:dyDescent="0.25">
      <c r="D507" s="1"/>
      <c r="F507" s="2"/>
    </row>
    <row r="508" spans="4:6" ht="15.75" customHeight="1" x14ac:dyDescent="0.25">
      <c r="D508" s="1"/>
      <c r="F508" s="2"/>
    </row>
    <row r="509" spans="4:6" ht="15.75" customHeight="1" x14ac:dyDescent="0.25">
      <c r="D509" s="1"/>
      <c r="F509" s="2"/>
    </row>
    <row r="510" spans="4:6" ht="15.75" customHeight="1" x14ac:dyDescent="0.25">
      <c r="D510" s="1"/>
      <c r="F510" s="2"/>
    </row>
    <row r="511" spans="4:6" ht="15.75" customHeight="1" x14ac:dyDescent="0.25">
      <c r="D511" s="1"/>
      <c r="F511" s="2"/>
    </row>
    <row r="512" spans="4:6" ht="15.75" customHeight="1" x14ac:dyDescent="0.25">
      <c r="D512" s="1"/>
      <c r="F512" s="2"/>
    </row>
    <row r="513" spans="4:6" ht="15.75" customHeight="1" x14ac:dyDescent="0.25">
      <c r="D513" s="1"/>
      <c r="F513" s="2"/>
    </row>
    <row r="514" spans="4:6" ht="15.75" customHeight="1" x14ac:dyDescent="0.25">
      <c r="D514" s="1"/>
      <c r="F514" s="2"/>
    </row>
    <row r="515" spans="4:6" ht="15.75" customHeight="1" x14ac:dyDescent="0.25">
      <c r="D515" s="1"/>
      <c r="F515" s="2"/>
    </row>
    <row r="516" spans="4:6" ht="15.75" customHeight="1" x14ac:dyDescent="0.25">
      <c r="D516" s="1"/>
      <c r="F516" s="2"/>
    </row>
    <row r="517" spans="4:6" ht="15.75" customHeight="1" x14ac:dyDescent="0.25">
      <c r="D517" s="1"/>
      <c r="F517" s="2"/>
    </row>
    <row r="518" spans="4:6" ht="15.75" customHeight="1" x14ac:dyDescent="0.25">
      <c r="D518" s="1"/>
      <c r="F518" s="2"/>
    </row>
    <row r="519" spans="4:6" ht="15.75" customHeight="1" x14ac:dyDescent="0.25">
      <c r="D519" s="1"/>
      <c r="F519" s="2"/>
    </row>
    <row r="520" spans="4:6" ht="15.75" customHeight="1" x14ac:dyDescent="0.25">
      <c r="D520" s="1"/>
      <c r="F520" s="2"/>
    </row>
    <row r="521" spans="4:6" ht="15.75" customHeight="1" x14ac:dyDescent="0.25">
      <c r="D521" s="1"/>
      <c r="F521" s="2"/>
    </row>
    <row r="522" spans="4:6" ht="15.75" customHeight="1" x14ac:dyDescent="0.25">
      <c r="D522" s="1"/>
      <c r="F522" s="2"/>
    </row>
    <row r="523" spans="4:6" ht="15.75" customHeight="1" x14ac:dyDescent="0.25">
      <c r="D523" s="1"/>
      <c r="F523" s="2"/>
    </row>
    <row r="524" spans="4:6" ht="15.75" customHeight="1" x14ac:dyDescent="0.25">
      <c r="D524" s="1"/>
      <c r="F524" s="2"/>
    </row>
    <row r="525" spans="4:6" ht="15.75" customHeight="1" x14ac:dyDescent="0.25">
      <c r="D525" s="1"/>
      <c r="F525" s="2"/>
    </row>
    <row r="526" spans="4:6" ht="15.75" customHeight="1" x14ac:dyDescent="0.25">
      <c r="D526" s="1"/>
      <c r="F526" s="2"/>
    </row>
    <row r="527" spans="4:6" ht="15.75" customHeight="1" x14ac:dyDescent="0.25">
      <c r="D527" s="1"/>
      <c r="F527" s="2"/>
    </row>
    <row r="528" spans="4:6" ht="15.75" customHeight="1" x14ac:dyDescent="0.25">
      <c r="D528" s="1"/>
      <c r="F528" s="2"/>
    </row>
    <row r="529" spans="4:6" ht="15.75" customHeight="1" x14ac:dyDescent="0.25">
      <c r="D529" s="1"/>
      <c r="F529" s="2"/>
    </row>
    <row r="530" spans="4:6" ht="15.75" customHeight="1" x14ac:dyDescent="0.25">
      <c r="D530" s="1"/>
      <c r="F530" s="2"/>
    </row>
    <row r="531" spans="4:6" ht="15.75" customHeight="1" x14ac:dyDescent="0.25">
      <c r="D531" s="1"/>
      <c r="F531" s="2"/>
    </row>
    <row r="532" spans="4:6" ht="15.75" customHeight="1" x14ac:dyDescent="0.25">
      <c r="D532" s="1"/>
      <c r="F532" s="2"/>
    </row>
    <row r="533" spans="4:6" ht="15.75" customHeight="1" x14ac:dyDescent="0.25">
      <c r="D533" s="1"/>
      <c r="F533" s="2"/>
    </row>
    <row r="534" spans="4:6" ht="15.75" customHeight="1" x14ac:dyDescent="0.25">
      <c r="D534" s="1"/>
      <c r="F534" s="2"/>
    </row>
    <row r="535" spans="4:6" ht="15.75" customHeight="1" x14ac:dyDescent="0.25">
      <c r="D535" s="1"/>
      <c r="F535" s="2"/>
    </row>
    <row r="536" spans="4:6" ht="15.75" customHeight="1" x14ac:dyDescent="0.25">
      <c r="D536" s="1"/>
      <c r="F536" s="2"/>
    </row>
    <row r="537" spans="4:6" ht="15.75" customHeight="1" x14ac:dyDescent="0.25">
      <c r="D537" s="1"/>
      <c r="F537" s="2"/>
    </row>
    <row r="538" spans="4:6" ht="15.75" customHeight="1" x14ac:dyDescent="0.25">
      <c r="D538" s="1"/>
      <c r="F538" s="2"/>
    </row>
    <row r="539" spans="4:6" ht="15.75" customHeight="1" x14ac:dyDescent="0.25">
      <c r="D539" s="1"/>
      <c r="F539" s="2"/>
    </row>
    <row r="540" spans="4:6" ht="15.75" customHeight="1" x14ac:dyDescent="0.25">
      <c r="D540" s="1"/>
      <c r="F540" s="2"/>
    </row>
    <row r="541" spans="4:6" ht="15.75" customHeight="1" x14ac:dyDescent="0.25">
      <c r="D541" s="1"/>
      <c r="F541" s="2"/>
    </row>
    <row r="542" spans="4:6" ht="15.75" customHeight="1" x14ac:dyDescent="0.25">
      <c r="D542" s="1"/>
      <c r="F542" s="2"/>
    </row>
    <row r="543" spans="4:6" ht="15.75" customHeight="1" x14ac:dyDescent="0.25">
      <c r="D543" s="1"/>
      <c r="F543" s="2"/>
    </row>
    <row r="544" spans="4:6" ht="15.75" customHeight="1" x14ac:dyDescent="0.25">
      <c r="D544" s="1"/>
      <c r="F544" s="2"/>
    </row>
    <row r="545" spans="4:6" ht="15.75" customHeight="1" x14ac:dyDescent="0.25">
      <c r="D545" s="1"/>
      <c r="F545" s="2"/>
    </row>
    <row r="546" spans="4:6" ht="15.75" customHeight="1" x14ac:dyDescent="0.25">
      <c r="D546" s="1"/>
      <c r="F546" s="2"/>
    </row>
    <row r="547" spans="4:6" ht="15.75" customHeight="1" x14ac:dyDescent="0.25">
      <c r="D547" s="1"/>
      <c r="F547" s="2"/>
    </row>
    <row r="548" spans="4:6" ht="15.75" customHeight="1" x14ac:dyDescent="0.25">
      <c r="D548" s="1"/>
      <c r="F548" s="2"/>
    </row>
    <row r="549" spans="4:6" ht="15.75" customHeight="1" x14ac:dyDescent="0.25">
      <c r="D549" s="1"/>
      <c r="F549" s="2"/>
    </row>
    <row r="550" spans="4:6" ht="15.75" customHeight="1" x14ac:dyDescent="0.25">
      <c r="D550" s="1"/>
      <c r="F550" s="2"/>
    </row>
    <row r="551" spans="4:6" ht="15.75" customHeight="1" x14ac:dyDescent="0.25">
      <c r="D551" s="1"/>
      <c r="F551" s="2"/>
    </row>
    <row r="552" spans="4:6" ht="15.75" customHeight="1" x14ac:dyDescent="0.25">
      <c r="D552" s="1"/>
      <c r="F552" s="2"/>
    </row>
    <row r="553" spans="4:6" ht="15.75" customHeight="1" x14ac:dyDescent="0.25">
      <c r="D553" s="1"/>
      <c r="F553" s="2"/>
    </row>
    <row r="554" spans="4:6" ht="15.75" customHeight="1" x14ac:dyDescent="0.25">
      <c r="D554" s="1"/>
      <c r="F554" s="2"/>
    </row>
    <row r="555" spans="4:6" ht="15.75" customHeight="1" x14ac:dyDescent="0.25">
      <c r="D555" s="1"/>
      <c r="F555" s="2"/>
    </row>
    <row r="556" spans="4:6" ht="15.75" customHeight="1" x14ac:dyDescent="0.25">
      <c r="D556" s="1"/>
      <c r="F556" s="2"/>
    </row>
    <row r="557" spans="4:6" ht="15.75" customHeight="1" x14ac:dyDescent="0.25">
      <c r="D557" s="1"/>
      <c r="F557" s="2"/>
    </row>
    <row r="558" spans="4:6" ht="15.75" customHeight="1" x14ac:dyDescent="0.25">
      <c r="D558" s="1"/>
      <c r="F558" s="2"/>
    </row>
    <row r="559" spans="4:6" ht="15.75" customHeight="1" x14ac:dyDescent="0.25">
      <c r="D559" s="1"/>
      <c r="F559" s="2"/>
    </row>
    <row r="560" spans="4:6" ht="15.75" customHeight="1" x14ac:dyDescent="0.25">
      <c r="D560" s="1"/>
      <c r="F560" s="2"/>
    </row>
    <row r="561" spans="4:6" ht="15.75" customHeight="1" x14ac:dyDescent="0.25">
      <c r="D561" s="1"/>
      <c r="F561" s="2"/>
    </row>
    <row r="562" spans="4:6" ht="15.75" customHeight="1" x14ac:dyDescent="0.25">
      <c r="D562" s="1"/>
      <c r="F562" s="2"/>
    </row>
    <row r="563" spans="4:6" ht="15.75" customHeight="1" x14ac:dyDescent="0.25">
      <c r="D563" s="1"/>
      <c r="F563" s="2"/>
    </row>
    <row r="564" spans="4:6" ht="15.75" customHeight="1" x14ac:dyDescent="0.25">
      <c r="D564" s="1"/>
      <c r="F564" s="2"/>
    </row>
    <row r="565" spans="4:6" ht="15.75" customHeight="1" x14ac:dyDescent="0.25">
      <c r="D565" s="1"/>
      <c r="F565" s="2"/>
    </row>
    <row r="566" spans="4:6" ht="15.75" customHeight="1" x14ac:dyDescent="0.25">
      <c r="D566" s="1"/>
      <c r="F566" s="2"/>
    </row>
    <row r="567" spans="4:6" ht="15.75" customHeight="1" x14ac:dyDescent="0.25">
      <c r="D567" s="1"/>
      <c r="F567" s="2"/>
    </row>
    <row r="568" spans="4:6" ht="15.75" customHeight="1" x14ac:dyDescent="0.25">
      <c r="D568" s="1"/>
      <c r="F568" s="2"/>
    </row>
    <row r="569" spans="4:6" ht="15.75" customHeight="1" x14ac:dyDescent="0.25">
      <c r="D569" s="1"/>
      <c r="F569" s="2"/>
    </row>
    <row r="570" spans="4:6" ht="15.75" customHeight="1" x14ac:dyDescent="0.25">
      <c r="D570" s="1"/>
      <c r="F570" s="2"/>
    </row>
    <row r="571" spans="4:6" ht="15.75" customHeight="1" x14ac:dyDescent="0.25">
      <c r="D571" s="1"/>
      <c r="F571" s="2"/>
    </row>
    <row r="572" spans="4:6" ht="15.75" customHeight="1" x14ac:dyDescent="0.25">
      <c r="D572" s="1"/>
      <c r="F572" s="2"/>
    </row>
    <row r="573" spans="4:6" ht="15.75" customHeight="1" x14ac:dyDescent="0.25">
      <c r="D573" s="1"/>
      <c r="F573" s="2"/>
    </row>
    <row r="574" spans="4:6" ht="15.75" customHeight="1" x14ac:dyDescent="0.25">
      <c r="D574" s="1"/>
      <c r="F574" s="2"/>
    </row>
    <row r="575" spans="4:6" ht="15.75" customHeight="1" x14ac:dyDescent="0.25">
      <c r="D575" s="1"/>
      <c r="F575" s="2"/>
    </row>
    <row r="576" spans="4:6" ht="15.75" customHeight="1" x14ac:dyDescent="0.25">
      <c r="D576" s="1"/>
      <c r="F576" s="2"/>
    </row>
    <row r="577" spans="4:6" ht="15.75" customHeight="1" x14ac:dyDescent="0.25">
      <c r="D577" s="1"/>
      <c r="F577" s="2"/>
    </row>
    <row r="578" spans="4:6" ht="15.75" customHeight="1" x14ac:dyDescent="0.25">
      <c r="D578" s="1"/>
      <c r="F578" s="2"/>
    </row>
    <row r="579" spans="4:6" ht="15.75" customHeight="1" x14ac:dyDescent="0.25">
      <c r="D579" s="1"/>
      <c r="F579" s="2"/>
    </row>
    <row r="580" spans="4:6" ht="15.75" customHeight="1" x14ac:dyDescent="0.25">
      <c r="D580" s="1"/>
      <c r="F580" s="2"/>
    </row>
    <row r="581" spans="4:6" ht="15.75" customHeight="1" x14ac:dyDescent="0.25">
      <c r="D581" s="1"/>
      <c r="F581" s="2"/>
    </row>
    <row r="582" spans="4:6" ht="15.75" customHeight="1" x14ac:dyDescent="0.25">
      <c r="D582" s="1"/>
      <c r="F582" s="2"/>
    </row>
    <row r="583" spans="4:6" ht="15.75" customHeight="1" x14ac:dyDescent="0.25">
      <c r="D583" s="1"/>
      <c r="F583" s="2"/>
    </row>
    <row r="584" spans="4:6" ht="15.75" customHeight="1" x14ac:dyDescent="0.25">
      <c r="D584" s="1"/>
      <c r="F584" s="2"/>
    </row>
    <row r="585" spans="4:6" ht="15.75" customHeight="1" x14ac:dyDescent="0.25">
      <c r="D585" s="1"/>
      <c r="F585" s="2"/>
    </row>
    <row r="586" spans="4:6" ht="15.75" customHeight="1" x14ac:dyDescent="0.25">
      <c r="D586" s="1"/>
      <c r="F586" s="2"/>
    </row>
    <row r="587" spans="4:6" ht="15.75" customHeight="1" x14ac:dyDescent="0.25">
      <c r="D587" s="1"/>
      <c r="F587" s="2"/>
    </row>
    <row r="588" spans="4:6" ht="15.75" customHeight="1" x14ac:dyDescent="0.25">
      <c r="D588" s="1"/>
      <c r="F588" s="2"/>
    </row>
    <row r="589" spans="4:6" ht="15.75" customHeight="1" x14ac:dyDescent="0.25">
      <c r="D589" s="1"/>
      <c r="F589" s="2"/>
    </row>
    <row r="590" spans="4:6" ht="15.75" customHeight="1" x14ac:dyDescent="0.25">
      <c r="D590" s="1"/>
      <c r="F590" s="2"/>
    </row>
    <row r="591" spans="4:6" ht="15.75" customHeight="1" x14ac:dyDescent="0.25">
      <c r="D591" s="1"/>
      <c r="F591" s="2"/>
    </row>
    <row r="592" spans="4:6" ht="15.75" customHeight="1" x14ac:dyDescent="0.25">
      <c r="D592" s="1"/>
      <c r="F592" s="2"/>
    </row>
    <row r="593" spans="4:6" ht="15.75" customHeight="1" x14ac:dyDescent="0.25">
      <c r="D593" s="1"/>
      <c r="F593" s="2"/>
    </row>
    <row r="594" spans="4:6" ht="15.75" customHeight="1" x14ac:dyDescent="0.25">
      <c r="D594" s="1"/>
      <c r="F594" s="2"/>
    </row>
    <row r="595" spans="4:6" ht="15.75" customHeight="1" x14ac:dyDescent="0.25">
      <c r="D595" s="1"/>
      <c r="F595" s="2"/>
    </row>
    <row r="596" spans="4:6" ht="15.75" customHeight="1" x14ac:dyDescent="0.25">
      <c r="D596" s="1"/>
      <c r="F596" s="2"/>
    </row>
    <row r="597" spans="4:6" ht="15.75" customHeight="1" x14ac:dyDescent="0.25">
      <c r="D597" s="1"/>
      <c r="F597" s="2"/>
    </row>
    <row r="598" spans="4:6" ht="15.75" customHeight="1" x14ac:dyDescent="0.25">
      <c r="D598" s="1"/>
      <c r="F598" s="2"/>
    </row>
    <row r="599" spans="4:6" ht="15.75" customHeight="1" x14ac:dyDescent="0.25">
      <c r="D599" s="1"/>
      <c r="F599" s="2"/>
    </row>
    <row r="600" spans="4:6" ht="15.75" customHeight="1" x14ac:dyDescent="0.25">
      <c r="D600" s="1"/>
      <c r="F600" s="2"/>
    </row>
    <row r="601" spans="4:6" ht="15.75" customHeight="1" x14ac:dyDescent="0.25">
      <c r="D601" s="1"/>
      <c r="F601" s="2"/>
    </row>
    <row r="602" spans="4:6" ht="15.75" customHeight="1" x14ac:dyDescent="0.25">
      <c r="D602" s="1"/>
      <c r="F602" s="2"/>
    </row>
    <row r="603" spans="4:6" ht="15.75" customHeight="1" x14ac:dyDescent="0.25">
      <c r="D603" s="1"/>
      <c r="F603" s="2"/>
    </row>
    <row r="604" spans="4:6" ht="15.75" customHeight="1" x14ac:dyDescent="0.25">
      <c r="D604" s="1"/>
      <c r="F604" s="2"/>
    </row>
    <row r="605" spans="4:6" ht="15.75" customHeight="1" x14ac:dyDescent="0.25">
      <c r="D605" s="1"/>
      <c r="F605" s="2"/>
    </row>
    <row r="606" spans="4:6" ht="15.75" customHeight="1" x14ac:dyDescent="0.25">
      <c r="D606" s="1"/>
      <c r="F606" s="2"/>
    </row>
    <row r="607" spans="4:6" ht="15.75" customHeight="1" x14ac:dyDescent="0.25">
      <c r="D607" s="1"/>
      <c r="F607" s="2"/>
    </row>
    <row r="608" spans="4:6" ht="15.75" customHeight="1" x14ac:dyDescent="0.25">
      <c r="D608" s="1"/>
      <c r="F608" s="2"/>
    </row>
    <row r="609" spans="4:6" ht="15.75" customHeight="1" x14ac:dyDescent="0.25">
      <c r="D609" s="1"/>
      <c r="F609" s="2"/>
    </row>
    <row r="610" spans="4:6" ht="15.75" customHeight="1" x14ac:dyDescent="0.25">
      <c r="D610" s="1"/>
      <c r="F610" s="2"/>
    </row>
    <row r="611" spans="4:6" ht="15.75" customHeight="1" x14ac:dyDescent="0.25">
      <c r="D611" s="1"/>
      <c r="F611" s="2"/>
    </row>
    <row r="612" spans="4:6" ht="15.75" customHeight="1" x14ac:dyDescent="0.25">
      <c r="D612" s="1"/>
      <c r="F612" s="2"/>
    </row>
    <row r="613" spans="4:6" ht="15.75" customHeight="1" x14ac:dyDescent="0.25">
      <c r="D613" s="1"/>
      <c r="F613" s="2"/>
    </row>
    <row r="614" spans="4:6" ht="15.75" customHeight="1" x14ac:dyDescent="0.25">
      <c r="D614" s="1"/>
      <c r="F614" s="2"/>
    </row>
    <row r="615" spans="4:6" ht="15.75" customHeight="1" x14ac:dyDescent="0.25">
      <c r="D615" s="1"/>
      <c r="F615" s="2"/>
    </row>
    <row r="616" spans="4:6" ht="15.75" customHeight="1" x14ac:dyDescent="0.25">
      <c r="D616" s="1"/>
      <c r="F616" s="2"/>
    </row>
    <row r="617" spans="4:6" ht="15.75" customHeight="1" x14ac:dyDescent="0.25">
      <c r="D617" s="1"/>
      <c r="F617" s="2"/>
    </row>
    <row r="618" spans="4:6" ht="15.75" customHeight="1" x14ac:dyDescent="0.25">
      <c r="D618" s="1"/>
      <c r="F618" s="2"/>
    </row>
    <row r="619" spans="4:6" ht="15.75" customHeight="1" x14ac:dyDescent="0.25">
      <c r="D619" s="1"/>
      <c r="F619" s="2"/>
    </row>
    <row r="620" spans="4:6" ht="15.75" customHeight="1" x14ac:dyDescent="0.25">
      <c r="D620" s="1"/>
      <c r="F620" s="2"/>
    </row>
    <row r="621" spans="4:6" ht="15.75" customHeight="1" x14ac:dyDescent="0.25">
      <c r="D621" s="1"/>
      <c r="F621" s="2"/>
    </row>
    <row r="622" spans="4:6" ht="15.75" customHeight="1" x14ac:dyDescent="0.25">
      <c r="D622" s="1"/>
      <c r="F622" s="2"/>
    </row>
    <row r="623" spans="4:6" ht="15.75" customHeight="1" x14ac:dyDescent="0.25">
      <c r="D623" s="1"/>
      <c r="F623" s="2"/>
    </row>
    <row r="624" spans="4:6" ht="15.75" customHeight="1" x14ac:dyDescent="0.25">
      <c r="D624" s="1"/>
      <c r="F624" s="2"/>
    </row>
    <row r="625" spans="4:6" ht="15.75" customHeight="1" x14ac:dyDescent="0.25">
      <c r="D625" s="1"/>
      <c r="F625" s="2"/>
    </row>
    <row r="626" spans="4:6" ht="15.75" customHeight="1" x14ac:dyDescent="0.25">
      <c r="D626" s="1"/>
      <c r="F626" s="2"/>
    </row>
    <row r="627" spans="4:6" ht="15.75" customHeight="1" x14ac:dyDescent="0.25">
      <c r="D627" s="1"/>
      <c r="F627" s="2"/>
    </row>
    <row r="628" spans="4:6" ht="15.75" customHeight="1" x14ac:dyDescent="0.25">
      <c r="D628" s="1"/>
      <c r="F628" s="2"/>
    </row>
    <row r="629" spans="4:6" ht="15.75" customHeight="1" x14ac:dyDescent="0.25">
      <c r="D629" s="1"/>
      <c r="F629" s="2"/>
    </row>
    <row r="630" spans="4:6" ht="15.75" customHeight="1" x14ac:dyDescent="0.25">
      <c r="D630" s="1"/>
      <c r="F630" s="2"/>
    </row>
    <row r="631" spans="4:6" ht="15.75" customHeight="1" x14ac:dyDescent="0.25">
      <c r="D631" s="1"/>
      <c r="F631" s="2"/>
    </row>
    <row r="632" spans="4:6" ht="15.75" customHeight="1" x14ac:dyDescent="0.25">
      <c r="D632" s="1"/>
      <c r="F632" s="2"/>
    </row>
    <row r="633" spans="4:6" ht="15.75" customHeight="1" x14ac:dyDescent="0.25">
      <c r="D633" s="1"/>
      <c r="F633" s="2"/>
    </row>
    <row r="634" spans="4:6" ht="15.75" customHeight="1" x14ac:dyDescent="0.25">
      <c r="D634" s="1"/>
      <c r="F634" s="2"/>
    </row>
    <row r="635" spans="4:6" ht="15.75" customHeight="1" x14ac:dyDescent="0.25">
      <c r="D635" s="1"/>
      <c r="F635" s="2"/>
    </row>
    <row r="636" spans="4:6" ht="15.75" customHeight="1" x14ac:dyDescent="0.25">
      <c r="D636" s="1"/>
      <c r="F636" s="2"/>
    </row>
    <row r="637" spans="4:6" ht="15.75" customHeight="1" x14ac:dyDescent="0.25">
      <c r="D637" s="1"/>
      <c r="F637" s="2"/>
    </row>
    <row r="638" spans="4:6" ht="15.75" customHeight="1" x14ac:dyDescent="0.25">
      <c r="D638" s="1"/>
      <c r="F638" s="2"/>
    </row>
    <row r="639" spans="4:6" ht="15.75" customHeight="1" x14ac:dyDescent="0.25">
      <c r="D639" s="1"/>
      <c r="F639" s="2"/>
    </row>
    <row r="640" spans="4:6" ht="15.75" customHeight="1" x14ac:dyDescent="0.25">
      <c r="D640" s="1"/>
      <c r="F640" s="2"/>
    </row>
    <row r="641" spans="4:6" ht="15.75" customHeight="1" x14ac:dyDescent="0.25">
      <c r="D641" s="1"/>
      <c r="F641" s="2"/>
    </row>
    <row r="642" spans="4:6" ht="15.75" customHeight="1" x14ac:dyDescent="0.25">
      <c r="D642" s="1"/>
      <c r="F642" s="2"/>
    </row>
    <row r="643" spans="4:6" ht="15.75" customHeight="1" x14ac:dyDescent="0.25">
      <c r="D643" s="1"/>
      <c r="F643" s="2"/>
    </row>
    <row r="644" spans="4:6" ht="15.75" customHeight="1" x14ac:dyDescent="0.25">
      <c r="D644" s="1"/>
      <c r="F644" s="2"/>
    </row>
    <row r="645" spans="4:6" ht="15.75" customHeight="1" x14ac:dyDescent="0.25">
      <c r="D645" s="1"/>
      <c r="F645" s="2"/>
    </row>
    <row r="646" spans="4:6" ht="15.75" customHeight="1" x14ac:dyDescent="0.25">
      <c r="D646" s="1"/>
      <c r="F646" s="2"/>
    </row>
    <row r="647" spans="4:6" ht="15.75" customHeight="1" x14ac:dyDescent="0.25">
      <c r="D647" s="1"/>
      <c r="F647" s="2"/>
    </row>
    <row r="648" spans="4:6" ht="15.75" customHeight="1" x14ac:dyDescent="0.25">
      <c r="D648" s="1"/>
      <c r="F648" s="2"/>
    </row>
    <row r="649" spans="4:6" ht="15.75" customHeight="1" x14ac:dyDescent="0.25">
      <c r="D649" s="1"/>
      <c r="F649" s="2"/>
    </row>
    <row r="650" spans="4:6" ht="15.75" customHeight="1" x14ac:dyDescent="0.25">
      <c r="D650" s="1"/>
      <c r="F650" s="2"/>
    </row>
    <row r="651" spans="4:6" ht="15.75" customHeight="1" x14ac:dyDescent="0.25">
      <c r="D651" s="1"/>
      <c r="F651" s="2"/>
    </row>
    <row r="652" spans="4:6" ht="15.75" customHeight="1" x14ac:dyDescent="0.25">
      <c r="D652" s="1"/>
      <c r="F652" s="2"/>
    </row>
    <row r="653" spans="4:6" ht="15.75" customHeight="1" x14ac:dyDescent="0.25">
      <c r="D653" s="1"/>
      <c r="F653" s="2"/>
    </row>
    <row r="654" spans="4:6" ht="15.75" customHeight="1" x14ac:dyDescent="0.25">
      <c r="D654" s="1"/>
      <c r="F654" s="2"/>
    </row>
    <row r="655" spans="4:6" ht="15.75" customHeight="1" x14ac:dyDescent="0.25">
      <c r="D655" s="1"/>
      <c r="F655" s="2"/>
    </row>
    <row r="656" spans="4:6" ht="15.75" customHeight="1" x14ac:dyDescent="0.25">
      <c r="D656" s="1"/>
      <c r="F656" s="2"/>
    </row>
    <row r="657" spans="4:6" ht="15.75" customHeight="1" x14ac:dyDescent="0.25">
      <c r="D657" s="1"/>
      <c r="F657" s="2"/>
    </row>
    <row r="658" spans="4:6" ht="15.75" customHeight="1" x14ac:dyDescent="0.25">
      <c r="D658" s="1"/>
      <c r="F658" s="2"/>
    </row>
    <row r="659" spans="4:6" ht="15.75" customHeight="1" x14ac:dyDescent="0.25">
      <c r="D659" s="1"/>
      <c r="F659" s="2"/>
    </row>
    <row r="660" spans="4:6" ht="15.75" customHeight="1" x14ac:dyDescent="0.25">
      <c r="D660" s="1"/>
      <c r="F660" s="2"/>
    </row>
    <row r="661" spans="4:6" ht="15.75" customHeight="1" x14ac:dyDescent="0.25">
      <c r="D661" s="1"/>
      <c r="F661" s="2"/>
    </row>
    <row r="662" spans="4:6" ht="15.75" customHeight="1" x14ac:dyDescent="0.25">
      <c r="D662" s="1"/>
      <c r="F662" s="2"/>
    </row>
    <row r="663" spans="4:6" ht="15.75" customHeight="1" x14ac:dyDescent="0.25">
      <c r="D663" s="1"/>
      <c r="F663" s="2"/>
    </row>
    <row r="664" spans="4:6" ht="15.75" customHeight="1" x14ac:dyDescent="0.25">
      <c r="D664" s="1"/>
      <c r="F664" s="2"/>
    </row>
    <row r="665" spans="4:6" ht="15.75" customHeight="1" x14ac:dyDescent="0.25">
      <c r="D665" s="1"/>
      <c r="F665" s="2"/>
    </row>
    <row r="666" spans="4:6" ht="15.75" customHeight="1" x14ac:dyDescent="0.25">
      <c r="D666" s="1"/>
      <c r="F666" s="2"/>
    </row>
    <row r="667" spans="4:6" ht="15.75" customHeight="1" x14ac:dyDescent="0.25">
      <c r="D667" s="1"/>
      <c r="F667" s="2"/>
    </row>
    <row r="668" spans="4:6" ht="15.75" customHeight="1" x14ac:dyDescent="0.25">
      <c r="D668" s="1"/>
      <c r="F668" s="2"/>
    </row>
    <row r="669" spans="4:6" ht="15.75" customHeight="1" x14ac:dyDescent="0.25">
      <c r="D669" s="1"/>
      <c r="F669" s="2"/>
    </row>
    <row r="670" spans="4:6" ht="15.75" customHeight="1" x14ac:dyDescent="0.25">
      <c r="D670" s="1"/>
      <c r="F670" s="2"/>
    </row>
    <row r="671" spans="4:6" ht="15.75" customHeight="1" x14ac:dyDescent="0.25">
      <c r="D671" s="1"/>
      <c r="F671" s="2"/>
    </row>
    <row r="672" spans="4:6" ht="15.75" customHeight="1" x14ac:dyDescent="0.25">
      <c r="D672" s="1"/>
      <c r="F672" s="2"/>
    </row>
    <row r="673" spans="4:6" ht="15.75" customHeight="1" x14ac:dyDescent="0.25">
      <c r="D673" s="1"/>
      <c r="F673" s="2"/>
    </row>
    <row r="674" spans="4:6" ht="15.75" customHeight="1" x14ac:dyDescent="0.25">
      <c r="D674" s="1"/>
      <c r="F674" s="2"/>
    </row>
    <row r="675" spans="4:6" ht="15.75" customHeight="1" x14ac:dyDescent="0.25">
      <c r="D675" s="1"/>
      <c r="F675" s="2"/>
    </row>
    <row r="676" spans="4:6" ht="15.75" customHeight="1" x14ac:dyDescent="0.25">
      <c r="D676" s="1"/>
      <c r="F676" s="2"/>
    </row>
    <row r="677" spans="4:6" ht="15.75" customHeight="1" x14ac:dyDescent="0.25">
      <c r="D677" s="1"/>
      <c r="F677" s="2"/>
    </row>
    <row r="678" spans="4:6" ht="15.75" customHeight="1" x14ac:dyDescent="0.25">
      <c r="D678" s="1"/>
      <c r="F678" s="2"/>
    </row>
    <row r="679" spans="4:6" ht="15.75" customHeight="1" x14ac:dyDescent="0.25">
      <c r="D679" s="1"/>
      <c r="F679" s="2"/>
    </row>
    <row r="680" spans="4:6" ht="15.75" customHeight="1" x14ac:dyDescent="0.25">
      <c r="D680" s="1"/>
      <c r="F680" s="2"/>
    </row>
    <row r="681" spans="4:6" ht="15.75" customHeight="1" x14ac:dyDescent="0.25">
      <c r="D681" s="1"/>
      <c r="F681" s="2"/>
    </row>
    <row r="682" spans="4:6" ht="15.75" customHeight="1" x14ac:dyDescent="0.25">
      <c r="D682" s="1"/>
      <c r="F682" s="2"/>
    </row>
    <row r="683" spans="4:6" ht="15.75" customHeight="1" x14ac:dyDescent="0.25">
      <c r="D683" s="1"/>
      <c r="F683" s="2"/>
    </row>
    <row r="684" spans="4:6" ht="15.75" customHeight="1" x14ac:dyDescent="0.25">
      <c r="D684" s="1"/>
      <c r="F684" s="2"/>
    </row>
    <row r="685" spans="4:6" ht="15.75" customHeight="1" x14ac:dyDescent="0.25">
      <c r="D685" s="1"/>
      <c r="F685" s="2"/>
    </row>
    <row r="686" spans="4:6" ht="15.75" customHeight="1" x14ac:dyDescent="0.25">
      <c r="D686" s="1"/>
      <c r="F686" s="2"/>
    </row>
    <row r="687" spans="4:6" ht="15.75" customHeight="1" x14ac:dyDescent="0.25">
      <c r="D687" s="1"/>
      <c r="F687" s="2"/>
    </row>
    <row r="688" spans="4:6" ht="15.75" customHeight="1" x14ac:dyDescent="0.25">
      <c r="D688" s="1"/>
      <c r="F688" s="2"/>
    </row>
    <row r="689" spans="4:6" ht="15.75" customHeight="1" x14ac:dyDescent="0.25">
      <c r="D689" s="1"/>
      <c r="F689" s="2"/>
    </row>
    <row r="690" spans="4:6" ht="15.75" customHeight="1" x14ac:dyDescent="0.25">
      <c r="D690" s="1"/>
      <c r="F690" s="2"/>
    </row>
    <row r="691" spans="4:6" ht="15.75" customHeight="1" x14ac:dyDescent="0.25">
      <c r="D691" s="1"/>
      <c r="F691" s="2"/>
    </row>
    <row r="692" spans="4:6" ht="15.75" customHeight="1" x14ac:dyDescent="0.25">
      <c r="D692" s="1"/>
      <c r="F692" s="2"/>
    </row>
    <row r="693" spans="4:6" ht="15.75" customHeight="1" x14ac:dyDescent="0.25">
      <c r="D693" s="1"/>
      <c r="F693" s="2"/>
    </row>
    <row r="694" spans="4:6" ht="15.75" customHeight="1" x14ac:dyDescent="0.25">
      <c r="D694" s="1"/>
      <c r="F694" s="2"/>
    </row>
    <row r="695" spans="4:6" ht="15.75" customHeight="1" x14ac:dyDescent="0.25">
      <c r="D695" s="1"/>
      <c r="F695" s="2"/>
    </row>
    <row r="696" spans="4:6" ht="15.75" customHeight="1" x14ac:dyDescent="0.25">
      <c r="D696" s="1"/>
      <c r="F696" s="2"/>
    </row>
    <row r="697" spans="4:6" ht="15.75" customHeight="1" x14ac:dyDescent="0.25">
      <c r="D697" s="1"/>
      <c r="F697" s="2"/>
    </row>
    <row r="698" spans="4:6" ht="15.75" customHeight="1" x14ac:dyDescent="0.25">
      <c r="D698" s="1"/>
      <c r="F698" s="2"/>
    </row>
    <row r="699" spans="4:6" ht="15.75" customHeight="1" x14ac:dyDescent="0.25">
      <c r="D699" s="1"/>
      <c r="F699" s="2"/>
    </row>
    <row r="700" spans="4:6" ht="15.75" customHeight="1" x14ac:dyDescent="0.25">
      <c r="D700" s="1"/>
      <c r="F700" s="2"/>
    </row>
    <row r="701" spans="4:6" ht="15.75" customHeight="1" x14ac:dyDescent="0.25">
      <c r="D701" s="1"/>
      <c r="F701" s="2"/>
    </row>
    <row r="702" spans="4:6" ht="15.75" customHeight="1" x14ac:dyDescent="0.25">
      <c r="D702" s="1"/>
      <c r="F702" s="2"/>
    </row>
    <row r="703" spans="4:6" ht="15.75" customHeight="1" x14ac:dyDescent="0.25">
      <c r="D703" s="1"/>
      <c r="F703" s="2"/>
    </row>
    <row r="704" spans="4:6" ht="15.75" customHeight="1" x14ac:dyDescent="0.25">
      <c r="D704" s="1"/>
      <c r="F704" s="2"/>
    </row>
    <row r="705" spans="4:6" ht="15.75" customHeight="1" x14ac:dyDescent="0.25">
      <c r="D705" s="1"/>
      <c r="F705" s="2"/>
    </row>
    <row r="706" spans="4:6" ht="15.75" customHeight="1" x14ac:dyDescent="0.25">
      <c r="D706" s="1"/>
      <c r="F706" s="2"/>
    </row>
    <row r="707" spans="4:6" ht="15.75" customHeight="1" x14ac:dyDescent="0.25">
      <c r="D707" s="1"/>
      <c r="F707" s="2"/>
    </row>
    <row r="708" spans="4:6" ht="15.75" customHeight="1" x14ac:dyDescent="0.25">
      <c r="D708" s="1"/>
      <c r="F708" s="2"/>
    </row>
    <row r="709" spans="4:6" ht="15.75" customHeight="1" x14ac:dyDescent="0.25">
      <c r="D709" s="1"/>
      <c r="F709" s="2"/>
    </row>
    <row r="710" spans="4:6" ht="15.75" customHeight="1" x14ac:dyDescent="0.25">
      <c r="D710" s="1"/>
      <c r="F710" s="2"/>
    </row>
    <row r="711" spans="4:6" ht="15.75" customHeight="1" x14ac:dyDescent="0.25">
      <c r="D711" s="1"/>
      <c r="F711" s="2"/>
    </row>
    <row r="712" spans="4:6" ht="15.75" customHeight="1" x14ac:dyDescent="0.25">
      <c r="D712" s="1"/>
      <c r="F712" s="2"/>
    </row>
    <row r="713" spans="4:6" ht="15.75" customHeight="1" x14ac:dyDescent="0.25">
      <c r="D713" s="1"/>
      <c r="F713" s="2"/>
    </row>
    <row r="714" spans="4:6" ht="15.75" customHeight="1" x14ac:dyDescent="0.25">
      <c r="D714" s="1"/>
      <c r="F714" s="2"/>
    </row>
    <row r="715" spans="4:6" ht="15.75" customHeight="1" x14ac:dyDescent="0.25">
      <c r="D715" s="1"/>
      <c r="F715" s="2"/>
    </row>
    <row r="716" spans="4:6" ht="15.75" customHeight="1" x14ac:dyDescent="0.25">
      <c r="D716" s="1"/>
      <c r="F716" s="2"/>
    </row>
    <row r="717" spans="4:6" ht="15.75" customHeight="1" x14ac:dyDescent="0.25">
      <c r="D717" s="1"/>
      <c r="F717" s="2"/>
    </row>
    <row r="718" spans="4:6" ht="15.75" customHeight="1" x14ac:dyDescent="0.25">
      <c r="D718" s="1"/>
      <c r="F718" s="2"/>
    </row>
    <row r="719" spans="4:6" ht="15.75" customHeight="1" x14ac:dyDescent="0.25">
      <c r="D719" s="1"/>
      <c r="F719" s="2"/>
    </row>
    <row r="720" spans="4:6" ht="15.75" customHeight="1" x14ac:dyDescent="0.25">
      <c r="D720" s="1"/>
      <c r="F720" s="2"/>
    </row>
    <row r="721" spans="4:6" ht="15.75" customHeight="1" x14ac:dyDescent="0.25">
      <c r="D721" s="1"/>
      <c r="F721" s="2"/>
    </row>
    <row r="722" spans="4:6" ht="15.75" customHeight="1" x14ac:dyDescent="0.25">
      <c r="D722" s="1"/>
      <c r="F722" s="2"/>
    </row>
    <row r="723" spans="4:6" ht="15.75" customHeight="1" x14ac:dyDescent="0.25">
      <c r="D723" s="1"/>
      <c r="F723" s="2"/>
    </row>
    <row r="724" spans="4:6" ht="15.75" customHeight="1" x14ac:dyDescent="0.25">
      <c r="D724" s="1"/>
      <c r="F724" s="2"/>
    </row>
    <row r="725" spans="4:6" ht="15.75" customHeight="1" x14ac:dyDescent="0.25">
      <c r="D725" s="1"/>
      <c r="F725" s="2"/>
    </row>
    <row r="726" spans="4:6" ht="15.75" customHeight="1" x14ac:dyDescent="0.25">
      <c r="D726" s="1"/>
      <c r="F726" s="2"/>
    </row>
    <row r="727" spans="4:6" ht="15.75" customHeight="1" x14ac:dyDescent="0.25">
      <c r="D727" s="1"/>
      <c r="F727" s="2"/>
    </row>
    <row r="728" spans="4:6" ht="15.75" customHeight="1" x14ac:dyDescent="0.25">
      <c r="D728" s="1"/>
      <c r="F728" s="2"/>
    </row>
    <row r="729" spans="4:6" ht="15.75" customHeight="1" x14ac:dyDescent="0.25">
      <c r="D729" s="1"/>
      <c r="F729" s="2"/>
    </row>
    <row r="730" spans="4:6" ht="15.75" customHeight="1" x14ac:dyDescent="0.25">
      <c r="D730" s="1"/>
      <c r="F730" s="2"/>
    </row>
    <row r="731" spans="4:6" ht="15.75" customHeight="1" x14ac:dyDescent="0.25">
      <c r="D731" s="1"/>
      <c r="F731" s="2"/>
    </row>
    <row r="732" spans="4:6" ht="15.75" customHeight="1" x14ac:dyDescent="0.25">
      <c r="D732" s="1"/>
      <c r="F732" s="2"/>
    </row>
    <row r="733" spans="4:6" ht="15.75" customHeight="1" x14ac:dyDescent="0.25">
      <c r="D733" s="1"/>
      <c r="F733" s="2"/>
    </row>
    <row r="734" spans="4:6" ht="15.75" customHeight="1" x14ac:dyDescent="0.25">
      <c r="D734" s="1"/>
      <c r="F734" s="2"/>
    </row>
    <row r="735" spans="4:6" ht="15.75" customHeight="1" x14ac:dyDescent="0.25">
      <c r="D735" s="1"/>
      <c r="F735" s="2"/>
    </row>
    <row r="736" spans="4:6" ht="15.75" customHeight="1" x14ac:dyDescent="0.25">
      <c r="D736" s="1"/>
      <c r="F736" s="2"/>
    </row>
    <row r="737" spans="4:6" ht="15.75" customHeight="1" x14ac:dyDescent="0.25">
      <c r="D737" s="1"/>
      <c r="F737" s="2"/>
    </row>
    <row r="738" spans="4:6" ht="15.75" customHeight="1" x14ac:dyDescent="0.25">
      <c r="D738" s="1"/>
      <c r="F738" s="2"/>
    </row>
    <row r="739" spans="4:6" ht="15.75" customHeight="1" x14ac:dyDescent="0.25">
      <c r="D739" s="1"/>
      <c r="F739" s="2"/>
    </row>
    <row r="740" spans="4:6" ht="15.75" customHeight="1" x14ac:dyDescent="0.25">
      <c r="D740" s="1"/>
      <c r="F740" s="2"/>
    </row>
    <row r="741" spans="4:6" ht="15.75" customHeight="1" x14ac:dyDescent="0.25">
      <c r="D741" s="1"/>
      <c r="F741" s="2"/>
    </row>
    <row r="742" spans="4:6" ht="15.75" customHeight="1" x14ac:dyDescent="0.25">
      <c r="D742" s="1"/>
      <c r="F742" s="2"/>
    </row>
    <row r="743" spans="4:6" ht="15.75" customHeight="1" x14ac:dyDescent="0.25">
      <c r="D743" s="1"/>
      <c r="F743" s="2"/>
    </row>
    <row r="744" spans="4:6" ht="15.75" customHeight="1" x14ac:dyDescent="0.25">
      <c r="D744" s="1"/>
      <c r="F744" s="2"/>
    </row>
    <row r="745" spans="4:6" ht="15.75" customHeight="1" x14ac:dyDescent="0.25">
      <c r="D745" s="1"/>
      <c r="F745" s="2"/>
    </row>
    <row r="746" spans="4:6" ht="15.75" customHeight="1" x14ac:dyDescent="0.25">
      <c r="D746" s="1"/>
      <c r="F746" s="2"/>
    </row>
    <row r="747" spans="4:6" ht="15.75" customHeight="1" x14ac:dyDescent="0.25">
      <c r="D747" s="1"/>
      <c r="F747" s="2"/>
    </row>
    <row r="748" spans="4:6" ht="15.75" customHeight="1" x14ac:dyDescent="0.25">
      <c r="D748" s="1"/>
      <c r="F748" s="2"/>
    </row>
    <row r="749" spans="4:6" ht="15.75" customHeight="1" x14ac:dyDescent="0.25">
      <c r="D749" s="1"/>
      <c r="F749" s="2"/>
    </row>
    <row r="750" spans="4:6" ht="15.75" customHeight="1" x14ac:dyDescent="0.25">
      <c r="D750" s="1"/>
      <c r="F750" s="2"/>
    </row>
    <row r="751" spans="4:6" ht="15.75" customHeight="1" x14ac:dyDescent="0.25">
      <c r="D751" s="1"/>
      <c r="F751" s="2"/>
    </row>
    <row r="752" spans="4:6" ht="15.75" customHeight="1" x14ac:dyDescent="0.25">
      <c r="D752" s="1"/>
      <c r="F752" s="2"/>
    </row>
    <row r="753" spans="4:6" ht="15.75" customHeight="1" x14ac:dyDescent="0.25">
      <c r="D753" s="1"/>
      <c r="F753" s="2"/>
    </row>
    <row r="754" spans="4:6" ht="15.75" customHeight="1" x14ac:dyDescent="0.25">
      <c r="D754" s="1"/>
      <c r="F754" s="2"/>
    </row>
    <row r="755" spans="4:6" ht="15.75" customHeight="1" x14ac:dyDescent="0.25">
      <c r="D755" s="1"/>
      <c r="F755" s="2"/>
    </row>
    <row r="756" spans="4:6" ht="15.75" customHeight="1" x14ac:dyDescent="0.25">
      <c r="D756" s="1"/>
      <c r="F756" s="2"/>
    </row>
    <row r="757" spans="4:6" ht="15.75" customHeight="1" x14ac:dyDescent="0.25">
      <c r="D757" s="1"/>
      <c r="F757" s="2"/>
    </row>
    <row r="758" spans="4:6" ht="15.75" customHeight="1" x14ac:dyDescent="0.25">
      <c r="D758" s="1"/>
      <c r="F758" s="2"/>
    </row>
    <row r="759" spans="4:6" ht="15.75" customHeight="1" x14ac:dyDescent="0.25">
      <c r="D759" s="1"/>
      <c r="F759" s="2"/>
    </row>
    <row r="760" spans="4:6" ht="15.75" customHeight="1" x14ac:dyDescent="0.25">
      <c r="D760" s="1"/>
      <c r="F760" s="2"/>
    </row>
    <row r="761" spans="4:6" ht="15.75" customHeight="1" x14ac:dyDescent="0.25">
      <c r="D761" s="1"/>
      <c r="F761" s="2"/>
    </row>
    <row r="762" spans="4:6" ht="15.75" customHeight="1" x14ac:dyDescent="0.25">
      <c r="D762" s="1"/>
      <c r="F762" s="2"/>
    </row>
    <row r="763" spans="4:6" ht="15.75" customHeight="1" x14ac:dyDescent="0.25">
      <c r="D763" s="1"/>
      <c r="F763" s="2"/>
    </row>
    <row r="764" spans="4:6" ht="15.75" customHeight="1" x14ac:dyDescent="0.25">
      <c r="D764" s="1"/>
      <c r="F764" s="2"/>
    </row>
    <row r="765" spans="4:6" ht="15.75" customHeight="1" x14ac:dyDescent="0.25">
      <c r="D765" s="1"/>
      <c r="F765" s="2"/>
    </row>
    <row r="766" spans="4:6" ht="15.75" customHeight="1" x14ac:dyDescent="0.25">
      <c r="D766" s="1"/>
      <c r="F766" s="2"/>
    </row>
    <row r="767" spans="4:6" ht="15.75" customHeight="1" x14ac:dyDescent="0.25">
      <c r="D767" s="1"/>
      <c r="F767" s="2"/>
    </row>
    <row r="768" spans="4:6" ht="15.75" customHeight="1" x14ac:dyDescent="0.25">
      <c r="D768" s="1"/>
      <c r="F768" s="2"/>
    </row>
    <row r="769" spans="4:6" ht="15.75" customHeight="1" x14ac:dyDescent="0.25">
      <c r="D769" s="1"/>
      <c r="F769" s="2"/>
    </row>
    <row r="770" spans="4:6" ht="15.75" customHeight="1" x14ac:dyDescent="0.25">
      <c r="D770" s="1"/>
      <c r="F770" s="2"/>
    </row>
    <row r="771" spans="4:6" ht="15.75" customHeight="1" x14ac:dyDescent="0.25">
      <c r="D771" s="1"/>
      <c r="F771" s="2"/>
    </row>
    <row r="772" spans="4:6" ht="15.75" customHeight="1" x14ac:dyDescent="0.25">
      <c r="D772" s="1"/>
      <c r="F772" s="2"/>
    </row>
    <row r="773" spans="4:6" ht="15.75" customHeight="1" x14ac:dyDescent="0.25">
      <c r="D773" s="1"/>
      <c r="F773" s="2"/>
    </row>
    <row r="774" spans="4:6" ht="15.75" customHeight="1" x14ac:dyDescent="0.25">
      <c r="D774" s="1"/>
      <c r="F774" s="2"/>
    </row>
    <row r="775" spans="4:6" ht="15.75" customHeight="1" x14ac:dyDescent="0.25">
      <c r="D775" s="1"/>
      <c r="F775" s="2"/>
    </row>
    <row r="776" spans="4:6" ht="15.75" customHeight="1" x14ac:dyDescent="0.25">
      <c r="D776" s="1"/>
      <c r="F776" s="2"/>
    </row>
    <row r="777" spans="4:6" ht="15.75" customHeight="1" x14ac:dyDescent="0.25">
      <c r="D777" s="1"/>
      <c r="F777" s="2"/>
    </row>
    <row r="778" spans="4:6" ht="15.75" customHeight="1" x14ac:dyDescent="0.25">
      <c r="D778" s="1"/>
      <c r="F778" s="2"/>
    </row>
    <row r="779" spans="4:6" ht="15.75" customHeight="1" x14ac:dyDescent="0.25">
      <c r="D779" s="1"/>
      <c r="F779" s="2"/>
    </row>
    <row r="780" spans="4:6" ht="15.75" customHeight="1" x14ac:dyDescent="0.25">
      <c r="D780" s="1"/>
      <c r="F780" s="2"/>
    </row>
    <row r="781" spans="4:6" ht="15.75" customHeight="1" x14ac:dyDescent="0.25">
      <c r="D781" s="1"/>
      <c r="F781" s="2"/>
    </row>
    <row r="782" spans="4:6" ht="15.75" customHeight="1" x14ac:dyDescent="0.25">
      <c r="D782" s="1"/>
      <c r="F782" s="2"/>
    </row>
    <row r="783" spans="4:6" ht="15.75" customHeight="1" x14ac:dyDescent="0.25">
      <c r="D783" s="1"/>
      <c r="F783" s="2"/>
    </row>
    <row r="784" spans="4:6" ht="15.75" customHeight="1" x14ac:dyDescent="0.25">
      <c r="D784" s="1"/>
      <c r="F784" s="2"/>
    </row>
    <row r="785" spans="4:6" ht="15.75" customHeight="1" x14ac:dyDescent="0.25">
      <c r="D785" s="1"/>
      <c r="F785" s="2"/>
    </row>
    <row r="786" spans="4:6" ht="15.75" customHeight="1" x14ac:dyDescent="0.25">
      <c r="D786" s="1"/>
      <c r="F786" s="2"/>
    </row>
    <row r="787" spans="4:6" ht="15.75" customHeight="1" x14ac:dyDescent="0.25">
      <c r="D787" s="1"/>
      <c r="F787" s="2"/>
    </row>
    <row r="788" spans="4:6" ht="15.75" customHeight="1" x14ac:dyDescent="0.25">
      <c r="D788" s="1"/>
      <c r="F788" s="2"/>
    </row>
    <row r="789" spans="4:6" ht="15.75" customHeight="1" x14ac:dyDescent="0.25">
      <c r="D789" s="1"/>
      <c r="F789" s="2"/>
    </row>
    <row r="790" spans="4:6" ht="15.75" customHeight="1" x14ac:dyDescent="0.25">
      <c r="D790" s="1"/>
      <c r="F790" s="2"/>
    </row>
    <row r="791" spans="4:6" ht="15.75" customHeight="1" x14ac:dyDescent="0.25">
      <c r="D791" s="1"/>
      <c r="F791" s="2"/>
    </row>
    <row r="792" spans="4:6" ht="15.75" customHeight="1" x14ac:dyDescent="0.25">
      <c r="D792" s="1"/>
      <c r="F792" s="2"/>
    </row>
    <row r="793" spans="4:6" ht="15.75" customHeight="1" x14ac:dyDescent="0.25">
      <c r="D793" s="1"/>
      <c r="F793" s="2"/>
    </row>
    <row r="794" spans="4:6" ht="15.75" customHeight="1" x14ac:dyDescent="0.25">
      <c r="D794" s="1"/>
      <c r="F794" s="2"/>
    </row>
    <row r="795" spans="4:6" ht="15.75" customHeight="1" x14ac:dyDescent="0.25">
      <c r="D795" s="1"/>
      <c r="F795" s="2"/>
    </row>
    <row r="796" spans="4:6" ht="15.75" customHeight="1" x14ac:dyDescent="0.25">
      <c r="D796" s="1"/>
      <c r="F796" s="2"/>
    </row>
    <row r="797" spans="4:6" ht="15.75" customHeight="1" x14ac:dyDescent="0.25">
      <c r="D797" s="1"/>
      <c r="F797" s="2"/>
    </row>
    <row r="798" spans="4:6" ht="15.75" customHeight="1" x14ac:dyDescent="0.25">
      <c r="D798" s="1"/>
      <c r="F798" s="2"/>
    </row>
    <row r="799" spans="4:6" ht="15.75" customHeight="1" x14ac:dyDescent="0.25">
      <c r="D799" s="1"/>
      <c r="F799" s="2"/>
    </row>
    <row r="800" spans="4:6" ht="15.75" customHeight="1" x14ac:dyDescent="0.25">
      <c r="D800" s="1"/>
      <c r="F800" s="2"/>
    </row>
    <row r="801" spans="4:6" ht="15.75" customHeight="1" x14ac:dyDescent="0.25">
      <c r="D801" s="1"/>
      <c r="F801" s="2"/>
    </row>
    <row r="802" spans="4:6" ht="15.75" customHeight="1" x14ac:dyDescent="0.25">
      <c r="D802" s="1"/>
      <c r="F802" s="2"/>
    </row>
    <row r="803" spans="4:6" ht="15.75" customHeight="1" x14ac:dyDescent="0.25">
      <c r="D803" s="1"/>
      <c r="F803" s="2"/>
    </row>
    <row r="804" spans="4:6" ht="15.75" customHeight="1" x14ac:dyDescent="0.25">
      <c r="D804" s="1"/>
      <c r="F804" s="2"/>
    </row>
    <row r="805" spans="4:6" ht="15.75" customHeight="1" x14ac:dyDescent="0.25">
      <c r="D805" s="1"/>
      <c r="F805" s="2"/>
    </row>
    <row r="806" spans="4:6" ht="15.75" customHeight="1" x14ac:dyDescent="0.25">
      <c r="D806" s="1"/>
      <c r="F806" s="2"/>
    </row>
    <row r="807" spans="4:6" ht="15.75" customHeight="1" x14ac:dyDescent="0.25">
      <c r="D807" s="1"/>
      <c r="F807" s="2"/>
    </row>
    <row r="808" spans="4:6" ht="15.75" customHeight="1" x14ac:dyDescent="0.25">
      <c r="D808" s="1"/>
      <c r="F808" s="2"/>
    </row>
    <row r="809" spans="4:6" ht="15.75" customHeight="1" x14ac:dyDescent="0.25">
      <c r="D809" s="1"/>
      <c r="F809" s="2"/>
    </row>
    <row r="810" spans="4:6" ht="15.75" customHeight="1" x14ac:dyDescent="0.25">
      <c r="D810" s="1"/>
      <c r="F810" s="2"/>
    </row>
    <row r="811" spans="4:6" ht="15.75" customHeight="1" x14ac:dyDescent="0.25">
      <c r="D811" s="1"/>
      <c r="F811" s="2"/>
    </row>
    <row r="812" spans="4:6" ht="15.75" customHeight="1" x14ac:dyDescent="0.25">
      <c r="D812" s="1"/>
      <c r="F812" s="2"/>
    </row>
    <row r="813" spans="4:6" ht="15.75" customHeight="1" x14ac:dyDescent="0.25">
      <c r="D813" s="1"/>
      <c r="F813" s="2"/>
    </row>
    <row r="814" spans="4:6" ht="15.75" customHeight="1" x14ac:dyDescent="0.25">
      <c r="D814" s="1"/>
      <c r="F814" s="2"/>
    </row>
    <row r="815" spans="4:6" ht="15.75" customHeight="1" x14ac:dyDescent="0.25">
      <c r="D815" s="1"/>
      <c r="F815" s="2"/>
    </row>
    <row r="816" spans="4:6" ht="15.75" customHeight="1" x14ac:dyDescent="0.25">
      <c r="D816" s="1"/>
      <c r="F816" s="2"/>
    </row>
    <row r="817" spans="4:6" ht="15.75" customHeight="1" x14ac:dyDescent="0.25">
      <c r="D817" s="1"/>
      <c r="F817" s="2"/>
    </row>
    <row r="818" spans="4:6" ht="15.75" customHeight="1" x14ac:dyDescent="0.25">
      <c r="D818" s="1"/>
      <c r="F818" s="2"/>
    </row>
    <row r="819" spans="4:6" ht="15.75" customHeight="1" x14ac:dyDescent="0.25">
      <c r="D819" s="1"/>
      <c r="F819" s="2"/>
    </row>
    <row r="820" spans="4:6" ht="15.75" customHeight="1" x14ac:dyDescent="0.25">
      <c r="D820" s="1"/>
      <c r="F820" s="2"/>
    </row>
    <row r="821" spans="4:6" ht="15.75" customHeight="1" x14ac:dyDescent="0.25">
      <c r="D821" s="1"/>
      <c r="F821" s="2"/>
    </row>
    <row r="822" spans="4:6" ht="15.75" customHeight="1" x14ac:dyDescent="0.25">
      <c r="D822" s="1"/>
      <c r="F822" s="2"/>
    </row>
    <row r="823" spans="4:6" ht="15.75" customHeight="1" x14ac:dyDescent="0.25">
      <c r="D823" s="1"/>
      <c r="F823" s="2"/>
    </row>
    <row r="824" spans="4:6" ht="15.75" customHeight="1" x14ac:dyDescent="0.25">
      <c r="D824" s="1"/>
      <c r="F824" s="2"/>
    </row>
    <row r="825" spans="4:6" ht="15.75" customHeight="1" x14ac:dyDescent="0.25">
      <c r="D825" s="1"/>
      <c r="F825" s="2"/>
    </row>
    <row r="826" spans="4:6" ht="15.75" customHeight="1" x14ac:dyDescent="0.25">
      <c r="D826" s="1"/>
      <c r="F826" s="2"/>
    </row>
    <row r="827" spans="4:6" ht="15.75" customHeight="1" x14ac:dyDescent="0.25">
      <c r="D827" s="1"/>
      <c r="F827" s="2"/>
    </row>
    <row r="828" spans="4:6" ht="15.75" customHeight="1" x14ac:dyDescent="0.25">
      <c r="D828" s="1"/>
      <c r="F828" s="2"/>
    </row>
    <row r="829" spans="4:6" ht="15.75" customHeight="1" x14ac:dyDescent="0.25">
      <c r="D829" s="1"/>
      <c r="F829" s="2"/>
    </row>
    <row r="830" spans="4:6" ht="15.75" customHeight="1" x14ac:dyDescent="0.25">
      <c r="D830" s="1"/>
      <c r="F830" s="2"/>
    </row>
    <row r="831" spans="4:6" ht="15.75" customHeight="1" x14ac:dyDescent="0.25">
      <c r="D831" s="1"/>
      <c r="F831" s="2"/>
    </row>
    <row r="832" spans="4:6" ht="15.75" customHeight="1" x14ac:dyDescent="0.25">
      <c r="D832" s="1"/>
      <c r="F832" s="2"/>
    </row>
    <row r="833" spans="4:6" ht="15.75" customHeight="1" x14ac:dyDescent="0.25">
      <c r="D833" s="1"/>
      <c r="F833" s="2"/>
    </row>
    <row r="834" spans="4:6" ht="15.75" customHeight="1" x14ac:dyDescent="0.25">
      <c r="D834" s="1"/>
      <c r="F834" s="2"/>
    </row>
    <row r="835" spans="4:6" ht="15.75" customHeight="1" x14ac:dyDescent="0.25">
      <c r="D835" s="1"/>
      <c r="F835" s="2"/>
    </row>
    <row r="836" spans="4:6" ht="15.75" customHeight="1" x14ac:dyDescent="0.25">
      <c r="D836" s="1"/>
      <c r="F836" s="2"/>
    </row>
    <row r="837" spans="4:6" ht="15.75" customHeight="1" x14ac:dyDescent="0.25">
      <c r="D837" s="1"/>
      <c r="F837" s="2"/>
    </row>
    <row r="838" spans="4:6" ht="15.75" customHeight="1" x14ac:dyDescent="0.25">
      <c r="D838" s="1"/>
      <c r="F838" s="2"/>
    </row>
    <row r="839" spans="4:6" ht="15.75" customHeight="1" x14ac:dyDescent="0.25">
      <c r="D839" s="1"/>
      <c r="F839" s="2"/>
    </row>
    <row r="840" spans="4:6" ht="15.75" customHeight="1" x14ac:dyDescent="0.25">
      <c r="D840" s="1"/>
      <c r="F840" s="2"/>
    </row>
    <row r="841" spans="4:6" ht="15.75" customHeight="1" x14ac:dyDescent="0.25">
      <c r="D841" s="1"/>
      <c r="F841" s="2"/>
    </row>
    <row r="842" spans="4:6" ht="15.75" customHeight="1" x14ac:dyDescent="0.25">
      <c r="D842" s="1"/>
      <c r="F842" s="2"/>
    </row>
    <row r="843" spans="4:6" ht="15.75" customHeight="1" x14ac:dyDescent="0.25">
      <c r="D843" s="1"/>
      <c r="F843" s="2"/>
    </row>
    <row r="844" spans="4:6" ht="15.75" customHeight="1" x14ac:dyDescent="0.25">
      <c r="D844" s="1"/>
      <c r="F844" s="2"/>
    </row>
    <row r="845" spans="4:6" ht="15.75" customHeight="1" x14ac:dyDescent="0.25">
      <c r="D845" s="1"/>
      <c r="F845" s="2"/>
    </row>
    <row r="846" spans="4:6" ht="15.75" customHeight="1" x14ac:dyDescent="0.25">
      <c r="D846" s="1"/>
      <c r="F846" s="2"/>
    </row>
    <row r="847" spans="4:6" ht="15.75" customHeight="1" x14ac:dyDescent="0.25">
      <c r="D847" s="1"/>
      <c r="F847" s="2"/>
    </row>
    <row r="848" spans="4:6" ht="15.75" customHeight="1" x14ac:dyDescent="0.25">
      <c r="D848" s="1"/>
      <c r="F848" s="2"/>
    </row>
    <row r="849" spans="4:6" ht="15.75" customHeight="1" x14ac:dyDescent="0.25">
      <c r="D849" s="1"/>
      <c r="F849" s="2"/>
    </row>
    <row r="850" spans="4:6" ht="15.75" customHeight="1" x14ac:dyDescent="0.25">
      <c r="D850" s="1"/>
      <c r="F850" s="2"/>
    </row>
    <row r="851" spans="4:6" ht="15.75" customHeight="1" x14ac:dyDescent="0.25">
      <c r="D851" s="1"/>
      <c r="F851" s="2"/>
    </row>
    <row r="852" spans="4:6" ht="15.75" customHeight="1" x14ac:dyDescent="0.25">
      <c r="D852" s="1"/>
      <c r="F852" s="2"/>
    </row>
    <row r="853" spans="4:6" ht="15.75" customHeight="1" x14ac:dyDescent="0.25">
      <c r="D853" s="1"/>
      <c r="F853" s="2"/>
    </row>
    <row r="854" spans="4:6" ht="15.75" customHeight="1" x14ac:dyDescent="0.25">
      <c r="D854" s="1"/>
      <c r="F854" s="2"/>
    </row>
    <row r="855" spans="4:6" ht="15.75" customHeight="1" x14ac:dyDescent="0.25">
      <c r="D855" s="1"/>
      <c r="F855" s="2"/>
    </row>
    <row r="856" spans="4:6" ht="15.75" customHeight="1" x14ac:dyDescent="0.25">
      <c r="D856" s="1"/>
      <c r="F856" s="2"/>
    </row>
    <row r="857" spans="4:6" ht="15.75" customHeight="1" x14ac:dyDescent="0.25">
      <c r="D857" s="1"/>
      <c r="F857" s="2"/>
    </row>
    <row r="858" spans="4:6" ht="15.75" customHeight="1" x14ac:dyDescent="0.25">
      <c r="D858" s="1"/>
      <c r="F858" s="2"/>
    </row>
    <row r="859" spans="4:6" ht="15.75" customHeight="1" x14ac:dyDescent="0.25">
      <c r="D859" s="1"/>
      <c r="F859" s="2"/>
    </row>
    <row r="860" spans="4:6" ht="15.75" customHeight="1" x14ac:dyDescent="0.25">
      <c r="D860" s="1"/>
      <c r="F860" s="2"/>
    </row>
    <row r="861" spans="4:6" ht="15.75" customHeight="1" x14ac:dyDescent="0.25">
      <c r="D861" s="1"/>
      <c r="F861" s="2"/>
    </row>
    <row r="862" spans="4:6" ht="15.75" customHeight="1" x14ac:dyDescent="0.25">
      <c r="D862" s="1"/>
      <c r="F862" s="2"/>
    </row>
    <row r="863" spans="4:6" ht="15.75" customHeight="1" x14ac:dyDescent="0.25">
      <c r="D863" s="1"/>
      <c r="F863" s="2"/>
    </row>
    <row r="864" spans="4:6" ht="15.75" customHeight="1" x14ac:dyDescent="0.25">
      <c r="D864" s="1"/>
      <c r="F864" s="2"/>
    </row>
    <row r="865" spans="4:6" ht="15.75" customHeight="1" x14ac:dyDescent="0.25">
      <c r="D865" s="1"/>
      <c r="F865" s="2"/>
    </row>
    <row r="866" spans="4:6" ht="15.75" customHeight="1" x14ac:dyDescent="0.25">
      <c r="D866" s="1"/>
      <c r="F866" s="2"/>
    </row>
    <row r="867" spans="4:6" ht="15.75" customHeight="1" x14ac:dyDescent="0.25">
      <c r="D867" s="1"/>
      <c r="F867" s="2"/>
    </row>
    <row r="868" spans="4:6" ht="15.75" customHeight="1" x14ac:dyDescent="0.25">
      <c r="D868" s="1"/>
      <c r="F868" s="2"/>
    </row>
    <row r="869" spans="4:6" ht="15.75" customHeight="1" x14ac:dyDescent="0.25">
      <c r="D869" s="1"/>
      <c r="F869" s="2"/>
    </row>
    <row r="870" spans="4:6" ht="15.75" customHeight="1" x14ac:dyDescent="0.25">
      <c r="D870" s="1"/>
      <c r="F870" s="2"/>
    </row>
    <row r="871" spans="4:6" ht="15.75" customHeight="1" x14ac:dyDescent="0.25">
      <c r="D871" s="1"/>
      <c r="F871" s="2"/>
    </row>
    <row r="872" spans="4:6" ht="15.75" customHeight="1" x14ac:dyDescent="0.25">
      <c r="D872" s="1"/>
      <c r="F872" s="2"/>
    </row>
    <row r="873" spans="4:6" ht="15.75" customHeight="1" x14ac:dyDescent="0.25">
      <c r="D873" s="1"/>
      <c r="F873" s="2"/>
    </row>
    <row r="874" spans="4:6" ht="15.75" customHeight="1" x14ac:dyDescent="0.25">
      <c r="D874" s="1"/>
      <c r="F874" s="2"/>
    </row>
    <row r="875" spans="4:6" ht="15.75" customHeight="1" x14ac:dyDescent="0.25">
      <c r="D875" s="1"/>
      <c r="F875" s="2"/>
    </row>
    <row r="876" spans="4:6" ht="15.75" customHeight="1" x14ac:dyDescent="0.25">
      <c r="D876" s="1"/>
      <c r="F876" s="2"/>
    </row>
    <row r="877" spans="4:6" ht="15.75" customHeight="1" x14ac:dyDescent="0.25">
      <c r="D877" s="1"/>
      <c r="F877" s="2"/>
    </row>
    <row r="878" spans="4:6" ht="15.75" customHeight="1" x14ac:dyDescent="0.25">
      <c r="D878" s="1"/>
      <c r="F878" s="2"/>
    </row>
    <row r="879" spans="4:6" ht="15.75" customHeight="1" x14ac:dyDescent="0.25">
      <c r="D879" s="1"/>
      <c r="F879" s="2"/>
    </row>
    <row r="880" spans="4:6" ht="15.75" customHeight="1" x14ac:dyDescent="0.25">
      <c r="D880" s="1"/>
      <c r="F880" s="2"/>
    </row>
    <row r="881" spans="4:6" ht="15.75" customHeight="1" x14ac:dyDescent="0.25">
      <c r="D881" s="1"/>
      <c r="F881" s="2"/>
    </row>
    <row r="882" spans="4:6" ht="15.75" customHeight="1" x14ac:dyDescent="0.25">
      <c r="D882" s="1"/>
      <c r="F882" s="2"/>
    </row>
    <row r="883" spans="4:6" ht="15.75" customHeight="1" x14ac:dyDescent="0.25">
      <c r="D883" s="1"/>
      <c r="F883" s="2"/>
    </row>
    <row r="884" spans="4:6" ht="15.75" customHeight="1" x14ac:dyDescent="0.25">
      <c r="D884" s="1"/>
      <c r="F884" s="2"/>
    </row>
    <row r="885" spans="4:6" ht="15.75" customHeight="1" x14ac:dyDescent="0.25">
      <c r="D885" s="1"/>
      <c r="F885" s="2"/>
    </row>
    <row r="886" spans="4:6" ht="15.75" customHeight="1" x14ac:dyDescent="0.25">
      <c r="D886" s="1"/>
      <c r="F886" s="2"/>
    </row>
    <row r="887" spans="4:6" ht="15.75" customHeight="1" x14ac:dyDescent="0.25">
      <c r="D887" s="1"/>
      <c r="F887" s="2"/>
    </row>
    <row r="888" spans="4:6" ht="15.75" customHeight="1" x14ac:dyDescent="0.25">
      <c r="D888" s="1"/>
      <c r="F888" s="2"/>
    </row>
    <row r="889" spans="4:6" ht="15.75" customHeight="1" x14ac:dyDescent="0.25">
      <c r="D889" s="1"/>
      <c r="F889" s="2"/>
    </row>
    <row r="890" spans="4:6" ht="15.75" customHeight="1" x14ac:dyDescent="0.25">
      <c r="D890" s="1"/>
      <c r="F890" s="2"/>
    </row>
    <row r="891" spans="4:6" ht="15.75" customHeight="1" x14ac:dyDescent="0.25">
      <c r="D891" s="1"/>
      <c r="F891" s="2"/>
    </row>
    <row r="892" spans="4:6" ht="15.75" customHeight="1" x14ac:dyDescent="0.25">
      <c r="D892" s="1"/>
      <c r="F892" s="2"/>
    </row>
    <row r="893" spans="4:6" ht="15.75" customHeight="1" x14ac:dyDescent="0.25">
      <c r="D893" s="1"/>
      <c r="F893" s="2"/>
    </row>
    <row r="894" spans="4:6" ht="15.75" customHeight="1" x14ac:dyDescent="0.25">
      <c r="D894" s="1"/>
      <c r="F894" s="2"/>
    </row>
    <row r="895" spans="4:6" ht="15.75" customHeight="1" x14ac:dyDescent="0.25">
      <c r="D895" s="1"/>
      <c r="F895" s="2"/>
    </row>
    <row r="896" spans="4:6" ht="15.75" customHeight="1" x14ac:dyDescent="0.25">
      <c r="D896" s="1"/>
      <c r="F896" s="2"/>
    </row>
    <row r="897" spans="4:6" ht="15.75" customHeight="1" x14ac:dyDescent="0.25">
      <c r="D897" s="1"/>
      <c r="F897" s="2"/>
    </row>
    <row r="898" spans="4:6" ht="15.75" customHeight="1" x14ac:dyDescent="0.25">
      <c r="D898" s="1"/>
      <c r="F898" s="2"/>
    </row>
    <row r="899" spans="4:6" ht="15.75" customHeight="1" x14ac:dyDescent="0.25">
      <c r="D899" s="1"/>
      <c r="F899" s="2"/>
    </row>
    <row r="900" spans="4:6" ht="15.75" customHeight="1" x14ac:dyDescent="0.25">
      <c r="D900" s="1"/>
      <c r="F900" s="2"/>
    </row>
    <row r="901" spans="4:6" ht="15.75" customHeight="1" x14ac:dyDescent="0.25">
      <c r="D901" s="1"/>
      <c r="F901" s="2"/>
    </row>
    <row r="902" spans="4:6" ht="15.75" customHeight="1" x14ac:dyDescent="0.25">
      <c r="D902" s="1"/>
      <c r="F902" s="2"/>
    </row>
    <row r="903" spans="4:6" ht="15.75" customHeight="1" x14ac:dyDescent="0.25">
      <c r="D903" s="1"/>
      <c r="F903" s="2"/>
    </row>
    <row r="904" spans="4:6" ht="15.75" customHeight="1" x14ac:dyDescent="0.25">
      <c r="D904" s="1"/>
      <c r="F904" s="2"/>
    </row>
    <row r="905" spans="4:6" ht="15.75" customHeight="1" x14ac:dyDescent="0.25">
      <c r="D905" s="1"/>
      <c r="F905" s="2"/>
    </row>
    <row r="906" spans="4:6" ht="15.75" customHeight="1" x14ac:dyDescent="0.25">
      <c r="D906" s="1"/>
      <c r="F906" s="2"/>
    </row>
    <row r="907" spans="4:6" ht="15.75" customHeight="1" x14ac:dyDescent="0.25">
      <c r="D907" s="1"/>
      <c r="F907" s="2"/>
    </row>
    <row r="908" spans="4:6" ht="15.75" customHeight="1" x14ac:dyDescent="0.25">
      <c r="D908" s="1"/>
      <c r="F908" s="2"/>
    </row>
    <row r="909" spans="4:6" ht="15.75" customHeight="1" x14ac:dyDescent="0.25">
      <c r="D909" s="1"/>
      <c r="F909" s="2"/>
    </row>
    <row r="910" spans="4:6" ht="15.75" customHeight="1" x14ac:dyDescent="0.25">
      <c r="D910" s="1"/>
      <c r="F910" s="2"/>
    </row>
    <row r="911" spans="4:6" ht="15.75" customHeight="1" x14ac:dyDescent="0.25">
      <c r="D911" s="1"/>
      <c r="F911" s="2"/>
    </row>
    <row r="912" spans="4:6" ht="15.75" customHeight="1" x14ac:dyDescent="0.25">
      <c r="D912" s="1"/>
      <c r="F912" s="2"/>
    </row>
    <row r="913" spans="4:6" ht="15.75" customHeight="1" x14ac:dyDescent="0.25">
      <c r="D913" s="1"/>
      <c r="F913" s="2"/>
    </row>
    <row r="914" spans="4:6" ht="15.75" customHeight="1" x14ac:dyDescent="0.25">
      <c r="D914" s="1"/>
      <c r="F914" s="2"/>
    </row>
    <row r="915" spans="4:6" ht="15.75" customHeight="1" x14ac:dyDescent="0.25">
      <c r="D915" s="1"/>
      <c r="F915" s="2"/>
    </row>
    <row r="916" spans="4:6" ht="15.75" customHeight="1" x14ac:dyDescent="0.25">
      <c r="D916" s="1"/>
      <c r="F916" s="2"/>
    </row>
    <row r="917" spans="4:6" ht="15.75" customHeight="1" x14ac:dyDescent="0.25">
      <c r="D917" s="1"/>
      <c r="F917" s="2"/>
    </row>
    <row r="918" spans="4:6" ht="15.75" customHeight="1" x14ac:dyDescent="0.25">
      <c r="D918" s="1"/>
      <c r="F918" s="2"/>
    </row>
    <row r="919" spans="4:6" ht="15.75" customHeight="1" x14ac:dyDescent="0.25">
      <c r="D919" s="1"/>
      <c r="F919" s="2"/>
    </row>
    <row r="920" spans="4:6" ht="15.75" customHeight="1" x14ac:dyDescent="0.25">
      <c r="D920" s="1"/>
      <c r="F920" s="2"/>
    </row>
    <row r="921" spans="4:6" ht="15.75" customHeight="1" x14ac:dyDescent="0.25">
      <c r="D921" s="1"/>
      <c r="F921" s="2"/>
    </row>
    <row r="922" spans="4:6" ht="15.75" customHeight="1" x14ac:dyDescent="0.25">
      <c r="D922" s="1"/>
      <c r="F922" s="2"/>
    </row>
    <row r="923" spans="4:6" ht="15.75" customHeight="1" x14ac:dyDescent="0.25">
      <c r="D923" s="1"/>
      <c r="F923" s="2"/>
    </row>
    <row r="924" spans="4:6" ht="15.75" customHeight="1" x14ac:dyDescent="0.25">
      <c r="D924" s="1"/>
      <c r="F924" s="2"/>
    </row>
    <row r="925" spans="4:6" ht="15.75" customHeight="1" x14ac:dyDescent="0.25">
      <c r="D925" s="1"/>
      <c r="F925" s="2"/>
    </row>
    <row r="926" spans="4:6" ht="15.75" customHeight="1" x14ac:dyDescent="0.25">
      <c r="D926" s="1"/>
      <c r="F926" s="2"/>
    </row>
    <row r="927" spans="4:6" ht="15.75" customHeight="1" x14ac:dyDescent="0.25">
      <c r="D927" s="1"/>
      <c r="F927" s="2"/>
    </row>
    <row r="928" spans="4:6" ht="15.75" customHeight="1" x14ac:dyDescent="0.25">
      <c r="D928" s="1"/>
      <c r="F928" s="2"/>
    </row>
    <row r="929" spans="4:6" ht="15.75" customHeight="1" x14ac:dyDescent="0.25">
      <c r="D929" s="1"/>
      <c r="F929" s="2"/>
    </row>
    <row r="930" spans="4:6" ht="15.75" customHeight="1" x14ac:dyDescent="0.25">
      <c r="D930" s="1"/>
      <c r="F930" s="2"/>
    </row>
    <row r="931" spans="4:6" ht="15.75" customHeight="1" x14ac:dyDescent="0.25">
      <c r="D931" s="1"/>
      <c r="F931" s="2"/>
    </row>
    <row r="932" spans="4:6" ht="15.75" customHeight="1" x14ac:dyDescent="0.25">
      <c r="D932" s="1"/>
      <c r="F932" s="2"/>
    </row>
    <row r="933" spans="4:6" ht="15.75" customHeight="1" x14ac:dyDescent="0.25">
      <c r="D933" s="1"/>
      <c r="F933" s="2"/>
    </row>
    <row r="934" spans="4:6" ht="15.75" customHeight="1" x14ac:dyDescent="0.25">
      <c r="D934" s="1"/>
      <c r="F934" s="2"/>
    </row>
    <row r="935" spans="4:6" ht="15.75" customHeight="1" x14ac:dyDescent="0.25">
      <c r="D935" s="1"/>
      <c r="F935" s="2"/>
    </row>
    <row r="936" spans="4:6" ht="15.75" customHeight="1" x14ac:dyDescent="0.25">
      <c r="D936" s="1"/>
      <c r="F936" s="2"/>
    </row>
    <row r="937" spans="4:6" ht="15.75" customHeight="1" x14ac:dyDescent="0.25">
      <c r="D937" s="1"/>
      <c r="F937" s="2"/>
    </row>
    <row r="938" spans="4:6" ht="15.75" customHeight="1" x14ac:dyDescent="0.25">
      <c r="D938" s="1"/>
      <c r="F938" s="2"/>
    </row>
    <row r="939" spans="4:6" ht="15.75" customHeight="1" x14ac:dyDescent="0.25">
      <c r="D939" s="1"/>
      <c r="F939" s="2"/>
    </row>
    <row r="940" spans="4:6" ht="15.75" customHeight="1" x14ac:dyDescent="0.25">
      <c r="D940" s="1"/>
      <c r="F940" s="2"/>
    </row>
    <row r="941" spans="4:6" ht="15.75" customHeight="1" x14ac:dyDescent="0.25">
      <c r="D941" s="1"/>
      <c r="F941" s="2"/>
    </row>
    <row r="942" spans="4:6" ht="15.75" customHeight="1" x14ac:dyDescent="0.25">
      <c r="D942" s="1"/>
      <c r="F942" s="2"/>
    </row>
    <row r="943" spans="4:6" ht="15.75" customHeight="1" x14ac:dyDescent="0.25">
      <c r="D943" s="1"/>
      <c r="F943" s="2"/>
    </row>
    <row r="944" spans="4:6" ht="15.75" customHeight="1" x14ac:dyDescent="0.25">
      <c r="D944" s="1"/>
      <c r="F944" s="2"/>
    </row>
    <row r="945" spans="4:6" ht="15.75" customHeight="1" x14ac:dyDescent="0.25">
      <c r="D945" s="1"/>
      <c r="F945" s="2"/>
    </row>
    <row r="946" spans="4:6" ht="15.75" customHeight="1" x14ac:dyDescent="0.25">
      <c r="D946" s="1"/>
      <c r="F946" s="2"/>
    </row>
    <row r="947" spans="4:6" ht="15.75" customHeight="1" x14ac:dyDescent="0.25">
      <c r="D947" s="1"/>
      <c r="F947" s="2"/>
    </row>
    <row r="948" spans="4:6" ht="15.75" customHeight="1" x14ac:dyDescent="0.25">
      <c r="D948" s="1"/>
      <c r="F948" s="2"/>
    </row>
    <row r="949" spans="4:6" ht="15.75" customHeight="1" x14ac:dyDescent="0.25">
      <c r="D949" s="1"/>
      <c r="F949" s="2"/>
    </row>
    <row r="950" spans="4:6" ht="15.75" customHeight="1" x14ac:dyDescent="0.25">
      <c r="D950" s="1"/>
      <c r="F950" s="2"/>
    </row>
    <row r="951" spans="4:6" ht="15.75" customHeight="1" x14ac:dyDescent="0.25">
      <c r="D951" s="1"/>
      <c r="F951" s="2"/>
    </row>
    <row r="952" spans="4:6" ht="15.75" customHeight="1" x14ac:dyDescent="0.25">
      <c r="D952" s="1"/>
      <c r="F952" s="2"/>
    </row>
    <row r="953" spans="4:6" ht="15.75" customHeight="1" x14ac:dyDescent="0.25">
      <c r="D953" s="1"/>
      <c r="F953" s="2"/>
    </row>
    <row r="954" spans="4:6" ht="15.75" customHeight="1" x14ac:dyDescent="0.25">
      <c r="D954" s="1"/>
      <c r="F954" s="2"/>
    </row>
    <row r="955" spans="4:6" ht="15.75" customHeight="1" x14ac:dyDescent="0.25">
      <c r="D955" s="1"/>
      <c r="F955" s="2"/>
    </row>
    <row r="956" spans="4:6" ht="15.75" customHeight="1" x14ac:dyDescent="0.25">
      <c r="D956" s="1"/>
      <c r="F956" s="2"/>
    </row>
    <row r="957" spans="4:6" ht="15.75" customHeight="1" x14ac:dyDescent="0.25">
      <c r="D957" s="1"/>
      <c r="F957" s="2"/>
    </row>
    <row r="958" spans="4:6" ht="15.75" customHeight="1" x14ac:dyDescent="0.25">
      <c r="D958" s="1"/>
      <c r="F958" s="2"/>
    </row>
    <row r="959" spans="4:6" ht="15.75" customHeight="1" x14ac:dyDescent="0.25">
      <c r="D959" s="1"/>
      <c r="F959" s="2"/>
    </row>
    <row r="960" spans="4:6" ht="15.75" customHeight="1" x14ac:dyDescent="0.25">
      <c r="D960" s="1"/>
      <c r="F960" s="2"/>
    </row>
    <row r="961" spans="4:6" ht="15.75" customHeight="1" x14ac:dyDescent="0.25">
      <c r="D961" s="1"/>
      <c r="F961" s="2"/>
    </row>
    <row r="962" spans="4:6" ht="15.75" customHeight="1" x14ac:dyDescent="0.25">
      <c r="D962" s="1"/>
      <c r="F962" s="2"/>
    </row>
    <row r="963" spans="4:6" ht="15.75" customHeight="1" x14ac:dyDescent="0.25">
      <c r="D963" s="1"/>
      <c r="F963" s="2"/>
    </row>
    <row r="964" spans="4:6" ht="15.75" customHeight="1" x14ac:dyDescent="0.25">
      <c r="D964" s="1"/>
      <c r="F964" s="2"/>
    </row>
    <row r="965" spans="4:6" ht="15.75" customHeight="1" x14ac:dyDescent="0.25">
      <c r="D965" s="1"/>
      <c r="F965" s="2"/>
    </row>
    <row r="966" spans="4:6" ht="15.75" customHeight="1" x14ac:dyDescent="0.25">
      <c r="D966" s="1"/>
      <c r="F966" s="2"/>
    </row>
    <row r="967" spans="4:6" ht="15.75" customHeight="1" x14ac:dyDescent="0.25">
      <c r="D967" s="1"/>
      <c r="F967" s="2"/>
    </row>
    <row r="968" spans="4:6" ht="15.75" customHeight="1" x14ac:dyDescent="0.25">
      <c r="D968" s="1"/>
      <c r="F968" s="2"/>
    </row>
    <row r="969" spans="4:6" ht="15.75" customHeight="1" x14ac:dyDescent="0.25">
      <c r="D969" s="1"/>
      <c r="F969" s="2"/>
    </row>
    <row r="970" spans="4:6" ht="15.75" customHeight="1" x14ac:dyDescent="0.25">
      <c r="D970" s="1"/>
      <c r="F970" s="2"/>
    </row>
    <row r="971" spans="4:6" ht="15.75" customHeight="1" x14ac:dyDescent="0.25">
      <c r="D971" s="1"/>
      <c r="F971" s="2"/>
    </row>
    <row r="972" spans="4:6" ht="15.75" customHeight="1" x14ac:dyDescent="0.25">
      <c r="D972" s="1"/>
      <c r="F972" s="2"/>
    </row>
    <row r="973" spans="4:6" ht="15.75" customHeight="1" x14ac:dyDescent="0.25">
      <c r="D973" s="1"/>
      <c r="F973" s="2"/>
    </row>
    <row r="974" spans="4:6" ht="15.75" customHeight="1" x14ac:dyDescent="0.25">
      <c r="D974" s="1"/>
      <c r="F974" s="2"/>
    </row>
    <row r="975" spans="4:6" ht="15.75" customHeight="1" x14ac:dyDescent="0.25">
      <c r="D975" s="1"/>
      <c r="F975" s="2"/>
    </row>
    <row r="976" spans="4:6" ht="15.75" customHeight="1" x14ac:dyDescent="0.25">
      <c r="D976" s="1"/>
      <c r="F976" s="2"/>
    </row>
    <row r="977" spans="4:6" ht="15.75" customHeight="1" x14ac:dyDescent="0.25">
      <c r="D977" s="1"/>
      <c r="F977" s="2"/>
    </row>
    <row r="978" spans="4:6" ht="15.75" customHeight="1" x14ac:dyDescent="0.25">
      <c r="D978" s="1"/>
      <c r="F978" s="2"/>
    </row>
    <row r="979" spans="4:6" ht="15.75" customHeight="1" x14ac:dyDescent="0.25">
      <c r="D979" s="1"/>
      <c r="F979" s="2"/>
    </row>
    <row r="980" spans="4:6" ht="15.75" customHeight="1" x14ac:dyDescent="0.25">
      <c r="D980" s="1"/>
      <c r="F980" s="2"/>
    </row>
    <row r="981" spans="4:6" ht="15.75" customHeight="1" x14ac:dyDescent="0.25">
      <c r="D981" s="1"/>
      <c r="F981" s="2"/>
    </row>
    <row r="982" spans="4:6" ht="15.75" customHeight="1" x14ac:dyDescent="0.25">
      <c r="D982" s="1"/>
      <c r="F982" s="2"/>
    </row>
    <row r="983" spans="4:6" ht="15.75" customHeight="1" x14ac:dyDescent="0.25">
      <c r="D983" s="1"/>
      <c r="F983" s="2"/>
    </row>
    <row r="984" spans="4:6" ht="15.75" customHeight="1" x14ac:dyDescent="0.25">
      <c r="D984" s="1"/>
      <c r="F984" s="2"/>
    </row>
    <row r="985" spans="4:6" ht="15.75" customHeight="1" x14ac:dyDescent="0.25">
      <c r="D985" s="1"/>
      <c r="F985" s="2"/>
    </row>
    <row r="986" spans="4:6" ht="15.75" customHeight="1" x14ac:dyDescent="0.25">
      <c r="D986" s="1"/>
      <c r="F986" s="2"/>
    </row>
    <row r="987" spans="4:6" ht="15.75" customHeight="1" x14ac:dyDescent="0.25">
      <c r="D987" s="1"/>
      <c r="F987" s="2"/>
    </row>
    <row r="988" spans="4:6" ht="15.75" customHeight="1" x14ac:dyDescent="0.25">
      <c r="D988" s="1"/>
      <c r="F988" s="2"/>
    </row>
    <row r="989" spans="4:6" ht="15.75" customHeight="1" x14ac:dyDescent="0.25">
      <c r="D989" s="1"/>
      <c r="F989" s="2"/>
    </row>
    <row r="990" spans="4:6" ht="15.75" customHeight="1" x14ac:dyDescent="0.25">
      <c r="D990" s="1"/>
      <c r="F990" s="2"/>
    </row>
    <row r="991" spans="4:6" ht="15.75" customHeight="1" x14ac:dyDescent="0.25">
      <c r="D991" s="1"/>
      <c r="F991" s="2"/>
    </row>
    <row r="992" spans="4:6" ht="15.75" customHeight="1" x14ac:dyDescent="0.25">
      <c r="D992" s="1"/>
      <c r="F992" s="2"/>
    </row>
    <row r="993" spans="4:6" ht="15.75" customHeight="1" x14ac:dyDescent="0.25">
      <c r="D993" s="1"/>
      <c r="F993" s="2"/>
    </row>
    <row r="994" spans="4:6" ht="15.75" customHeight="1" x14ac:dyDescent="0.25">
      <c r="D994" s="1"/>
      <c r="F994" s="2"/>
    </row>
    <row r="995" spans="4:6" ht="15.75" customHeight="1" x14ac:dyDescent="0.25">
      <c r="D995" s="1"/>
      <c r="F995" s="2"/>
    </row>
    <row r="996" spans="4:6" ht="15.75" customHeight="1" x14ac:dyDescent="0.25">
      <c r="D996" s="1"/>
      <c r="F996" s="2"/>
    </row>
    <row r="997" spans="4:6" ht="15.75" customHeight="1" x14ac:dyDescent="0.25">
      <c r="D997" s="1"/>
      <c r="F997" s="2"/>
    </row>
    <row r="998" spans="4:6" ht="15.75" customHeight="1" x14ac:dyDescent="0.25">
      <c r="D998" s="1"/>
      <c r="F998" s="2"/>
    </row>
    <row r="999" spans="4:6" ht="15.75" customHeight="1" x14ac:dyDescent="0.25">
      <c r="D999" s="1"/>
      <c r="F999" s="2"/>
    </row>
    <row r="1000" spans="4:6" ht="15.75" customHeight="1" x14ac:dyDescent="0.25">
      <c r="D1000" s="1"/>
      <c r="F1000" s="2"/>
    </row>
    <row r="1001" spans="4:6" ht="15.75" customHeight="1" x14ac:dyDescent="0.25">
      <c r="D1001" s="1"/>
      <c r="F1001" s="2"/>
    </row>
  </sheetData>
  <mergeCells count="3">
    <mergeCell ref="B4:B5"/>
    <mergeCell ref="B7:B19"/>
    <mergeCell ref="B21:B2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or buy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Cano</dc:creator>
  <cp:lastModifiedBy>Raúl Cano</cp:lastModifiedBy>
  <dcterms:created xsi:type="dcterms:W3CDTF">2026-04-11T00:06:43Z</dcterms:created>
  <dcterms:modified xsi:type="dcterms:W3CDTF">2026-04-11T00:11:38Z</dcterms:modified>
</cp:coreProperties>
</file>